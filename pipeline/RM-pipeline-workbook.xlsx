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M. Reyes" sheetId="3" state="visible" r:id="rId3"/>
    <sheet name="D. Patel" sheetId="4" state="visible" r:id="rId4"/>
    <sheet name="A. Tran" sheetId="5" state="visible" r:id="rId5"/>
    <sheet name="K. Williams" sheetId="6" state="visible" r:id="rId6"/>
    <sheet name="R. Chen" sheetId="7" state="visible" r:id="rId7"/>
    <sheet name="S. Garcia" sheetId="8" state="visible" r:id="rId8"/>
    <sheet name="B. Foster" sheetId="9" state="visible" r:id="rId9"/>
    <sheet name="Lookup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yyyy-mm-dd"/>
    <numFmt numFmtId="166" formatCode="m/d/yyyy"/>
  </numFmts>
  <fonts count="6">
    <font>
      <name val="Calibri"/>
      <family val="2"/>
      <color theme="1"/>
      <sz val="11"/>
      <scheme val="minor"/>
    </font>
    <font>
      <name val="Calibri"/>
      <b val="1"/>
      <color rgb="001864AB"/>
      <sz val="16"/>
    </font>
    <font>
      <name val="Calibri"/>
      <b val="1"/>
      <sz val="11"/>
    </font>
    <font>
      <name val="Calibri"/>
      <b val="1"/>
      <color rgb="00FFFFFF"/>
      <sz val="11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864AB"/>
      </patternFill>
    </fill>
    <fill>
      <patternFill patternType="solid">
        <fgColor rgb="00212529"/>
      </patternFill>
    </fill>
    <fill>
      <patternFill patternType="solid">
        <fgColor rgb="00E9ECEF"/>
      </patternFill>
    </fill>
    <fill>
      <patternFill patternType="solid">
        <fgColor rgb="00E7F5FF"/>
      </patternFill>
    </fill>
    <fill>
      <patternFill patternType="solid">
        <fgColor rgb="00F1F3F5"/>
      </patternFill>
    </fill>
  </fills>
  <borders count="2">
    <border>
      <left/>
      <right/>
      <top/>
      <bottom/>
      <diagonal/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/>
    </xf>
    <xf numFmtId="0" fontId="2" fillId="0" borderId="0" pivotButton="0" quotePrefix="0" xfId="0"/>
    <xf numFmtId="164" fontId="0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5" fillId="4" borderId="0" pivotButton="0" quotePrefix="0" xfId="0"/>
    <xf numFmtId="164" fontId="5" fillId="4" borderId="0" pivotButton="0" quotePrefix="0" xfId="0"/>
    <xf numFmtId="0" fontId="3" fillId="2" borderId="1" applyAlignment="1" pivotButton="0" quotePrefix="0" xfId="0">
      <alignment horizontal="center" vertical="center"/>
    </xf>
    <xf numFmtId="9" fontId="0" fillId="5" borderId="0" pivotButton="0" quotePrefix="0" xfId="0"/>
    <xf numFmtId="166" fontId="0" fillId="0" borderId="0" pivotButton="0" quotePrefix="0" xfId="0"/>
    <xf numFmtId="1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164" fontId="0" fillId="6" borderId="0" pivotButton="0" quotePrefix="0" xfId="0"/>
    <xf numFmtId="166" fontId="0" fillId="6" borderId="0" pivotButton="0" quotePrefix="0" xfId="0"/>
    <xf numFmtId="0" fontId="3" fillId="2" borderId="0" pivotButton="0" quotePrefix="0" xfId="0"/>
  </cellXfs>
  <cellStyles count="1">
    <cellStyle name="Normal" xfId="0" builtinId="0" hidden="0"/>
  </cellStyles>
  <dxfs count="2">
    <dxf>
      <font>
        <b val="1"/>
        <color rgb="009F1239"/>
      </font>
      <fill>
        <patternFill patternType="solid">
          <fgColor rgb="00FFE3E3"/>
        </patternFill>
      </fill>
    </dxf>
    <dxf>
      <font>
        <b val="1"/>
        <color rgb="0092400E"/>
      </font>
      <fill>
        <patternFill patternType="solid">
          <fgColor rgb="00FFF3B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RM Pipeline Template</t>
        </is>
      </c>
    </row>
    <row r="3" ht="8" customHeight="1">
      <c r="A3" s="2" t="inlineStr"/>
      <c r="B3" s="3" t="inlineStr"/>
    </row>
    <row r="4" ht="30" customHeight="1">
      <c r="A4" s="2" t="inlineStr">
        <is>
          <t>How to use</t>
        </is>
      </c>
      <c r="B4" s="3" t="inlineStr">
        <is>
          <t>Each RM has their own tab (named with your initial + last name). Fill in only your tab. Submit the workbook when ready and the dashboard will refresh.</t>
        </is>
      </c>
    </row>
    <row r="5" ht="30" customHeight="1">
      <c r="A5" s="2" t="inlineStr">
        <is>
          <t>Tabs</t>
        </is>
      </c>
      <c r="B5" s="3" t="inlineStr">
        <is>
          <t>README · Summary (auto-calculated rollup) · one tab per RM. Lookup is hidden — leave it alone.</t>
        </is>
      </c>
    </row>
    <row r="6" ht="8" customHeight="1">
      <c r="A6" s="2" t="inlineStr"/>
      <c r="B6" s="3" t="inlineStr"/>
    </row>
    <row r="7" ht="30" customHeight="1">
      <c r="A7" s="2" t="inlineStr">
        <is>
          <t>Required</t>
        </is>
      </c>
      <c r="B7" s="3" t="inlineStr">
        <is>
          <t>Customer · Product · Stage · Amount · Date Entered Stage</t>
        </is>
      </c>
    </row>
    <row r="8" ht="30" customHeight="1">
      <c r="A8" s="2" t="inlineStr">
        <is>
          <t>Auto-filled</t>
        </is>
      </c>
      <c r="B8" s="3" t="inlineStr">
        <is>
          <t>Probability (from Stage), Days in Stage (from date), Annual Rev (from Product+Amount), Weighted Rev (Annual × Probability). Cells with these formulas are light blue.</t>
        </is>
      </c>
    </row>
    <row r="9" ht="30" customHeight="1">
      <c r="A9" s="2" t="inlineStr">
        <is>
          <t>Overriding</t>
        </is>
      </c>
      <c r="B9" s="3" t="inlineStr">
        <is>
          <t>Probability auto-fills from Stage, but you can type a number over the formula if your judgment differs.</t>
        </is>
      </c>
    </row>
    <row r="10" ht="8" customHeight="1">
      <c r="A10" s="2" t="inlineStr"/>
      <c r="B10" s="3" t="inlineStr"/>
    </row>
    <row r="11" ht="30" customHeight="1">
      <c r="A11" s="2" t="inlineStr">
        <is>
          <t>Products</t>
        </is>
      </c>
      <c r="B11" s="3" t="inlineStr">
        <is>
          <t>Comm Loan · Deposits · Treasury Mgmt · Other Fees</t>
        </is>
      </c>
    </row>
    <row r="12" ht="30" customHeight="1">
      <c r="A12" s="2" t="inlineStr">
        <is>
          <t>Stages (prob)</t>
        </is>
      </c>
      <c r="B12" s="3" t="inlineStr">
        <is>
          <t>Lead (10%) · Qualified (25%) · Proposal (50%) · Commit (80%) · Closed (100%)</t>
        </is>
      </c>
    </row>
    <row r="13" ht="8" customHeight="1">
      <c r="A13" s="2" t="inlineStr"/>
      <c r="B13" s="3" t="inlineStr"/>
    </row>
    <row r="14" ht="30" customHeight="1">
      <c r="A14" s="2" t="inlineStr">
        <is>
          <t>Amount units</t>
        </is>
      </c>
      <c r="B14" s="3" t="inlineStr">
        <is>
          <t>Comm Loan / Deposits = loan or deposit balance in dollars. Treasury Mgmt / Other Fees = annual fee revenue in dollars.</t>
        </is>
      </c>
    </row>
    <row r="15" ht="30" customHeight="1">
      <c r="A15" s="2" t="inlineStr">
        <is>
          <t>Annual rev</t>
        </is>
      </c>
      <c r="B15" s="3" t="inlineStr">
        <is>
          <t>For loans/deposits, Annual Rev = Amount × spread (3.4% commercial loan, 0.5% deposit). For TM/Other, Annual Rev = Amount as entered.</t>
        </is>
      </c>
    </row>
    <row r="16" ht="30" customHeight="1">
      <c r="A16" s="2" t="inlineStr">
        <is>
          <t>Closed deals</t>
        </is>
      </c>
      <c r="B16" s="3" t="inlineStr">
        <is>
          <t>Mark Stage = Closed when funded/booked. Closed deals count toward Closed YTD on the dashboard but are excluded from open pipeline.</t>
        </is>
      </c>
    </row>
    <row r="17" ht="8" customHeight="1">
      <c r="A17" s="2" t="inlineStr"/>
      <c r="B17" s="3" t="inlineStr"/>
    </row>
    <row r="18" ht="30" customHeight="1">
      <c r="A18" s="2" t="inlineStr">
        <is>
          <t>Aging colors</t>
        </is>
      </c>
      <c r="B18" s="3" t="inlineStr">
        <is>
          <t>Days in Stage &gt; 90 highlight red; 61-90 amber. Use these to triage stuck deals.</t>
        </is>
      </c>
    </row>
    <row r="19" ht="30" customHeight="1">
      <c r="A19" s="2" t="inlineStr">
        <is>
          <t>Notes column</t>
        </is>
      </c>
      <c r="B19" s="3" t="inlineStr">
        <is>
          <t>Free text. Use it for things the columns don't capture (credit conditions, RM commentary, blockers).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8" customWidth="1" min="4" max="4"/>
    <col width="16" customWidth="1" min="5" max="5"/>
    <col width="18" customWidth="1" min="6" max="6"/>
    <col width="16" customWidth="1" min="7" max="7"/>
  </cols>
  <sheetData>
    <row r="1" ht="22" customHeight="1">
      <c r="A1" s="1" t="inlineStr">
        <is>
          <t>Pipeline Summary (auto-calculated)</t>
        </is>
      </c>
    </row>
    <row r="2">
      <c r="A2" s="4" t="inlineStr">
        <is>
          <t>RM</t>
        </is>
      </c>
      <c r="B2" s="4" t="inlineStr">
        <is>
          <t>Market</t>
        </is>
      </c>
      <c r="C2" s="4" t="inlineStr">
        <is>
          <t># Open Deals</t>
        </is>
      </c>
      <c r="D2" s="4" t="inlineStr">
        <is>
          <t>Total Balance ($)</t>
        </is>
      </c>
      <c r="E2" s="4" t="inlineStr">
        <is>
          <t>Annual Rev ($)</t>
        </is>
      </c>
      <c r="F2" s="4" t="inlineStr">
        <is>
          <t>Weighted Rev ($)</t>
        </is>
      </c>
      <c r="G2" s="4" t="inlineStr">
        <is>
          <t>Closed YTD ($)</t>
        </is>
      </c>
    </row>
    <row r="3">
      <c r="A3" s="5" t="inlineStr">
        <is>
          <t>M. Reyes</t>
        </is>
      </c>
      <c r="B3" t="inlineStr">
        <is>
          <t>Houston</t>
        </is>
      </c>
      <c r="C3">
        <f>COUNTIFS('M. Reyes'!C3:C32,"&lt;&gt;",'M. Reyes'!C3:C32,"&lt;&gt;Closed")</f>
        <v/>
      </c>
      <c r="D3" s="6">
        <f>SUMIFS('M. Reyes'!D3:D32,'M. Reyes'!C3:C32,"&lt;&gt;Closed",'M. Reyes'!C3:C32,"&lt;&gt;")</f>
        <v/>
      </c>
      <c r="E3" s="6">
        <f>SUMIFS('M. Reyes'!I3:I32,'M. Reyes'!C3:C32,"&lt;&gt;Closed",'M. Reyes'!C3:C32,"&lt;&gt;")</f>
        <v/>
      </c>
      <c r="F3" s="6">
        <f>SUMIFS('M. Reyes'!J3:J32,'M. Reyes'!C3:C32,"&lt;&gt;Closed",'M. Reyes'!C3:C32,"&lt;&gt;")</f>
        <v/>
      </c>
      <c r="G3" s="6">
        <f>SUMIFS('M. Reyes'!I3:I32,'M. Reyes'!C3:C32,"Closed")</f>
        <v/>
      </c>
    </row>
    <row r="4">
      <c r="A4" s="5" t="inlineStr">
        <is>
          <t>D. Patel</t>
        </is>
      </c>
      <c r="B4" t="inlineStr">
        <is>
          <t>Houston</t>
        </is>
      </c>
      <c r="C4">
        <f>COUNTIFS('D. Patel'!C3:C32,"&lt;&gt;",'D. Patel'!C3:C32,"&lt;&gt;Closed")</f>
        <v/>
      </c>
      <c r="D4" s="6">
        <f>SUMIFS('D. Patel'!D3:D32,'D. Patel'!C3:C32,"&lt;&gt;Closed",'D. Patel'!C3:C32,"&lt;&gt;")</f>
        <v/>
      </c>
      <c r="E4" s="6">
        <f>SUMIFS('D. Patel'!I3:I32,'D. Patel'!C3:C32,"&lt;&gt;Closed",'D. Patel'!C3:C32,"&lt;&gt;")</f>
        <v/>
      </c>
      <c r="F4" s="6">
        <f>SUMIFS('D. Patel'!J3:J32,'D. Patel'!C3:C32,"&lt;&gt;Closed",'D. Patel'!C3:C32,"&lt;&gt;")</f>
        <v/>
      </c>
      <c r="G4" s="6">
        <f>SUMIFS('D. Patel'!I3:I32,'D. Patel'!C3:C32,"Closed")</f>
        <v/>
      </c>
    </row>
    <row r="5">
      <c r="A5" s="5" t="inlineStr">
        <is>
          <t>A. Tran</t>
        </is>
      </c>
      <c r="B5" t="inlineStr">
        <is>
          <t>Houston</t>
        </is>
      </c>
      <c r="C5">
        <f>COUNTIFS('A. Tran'!C3:C32,"&lt;&gt;",'A. Tran'!C3:C32,"&lt;&gt;Closed")</f>
        <v/>
      </c>
      <c r="D5" s="6">
        <f>SUMIFS('A. Tran'!D3:D32,'A. Tran'!C3:C32,"&lt;&gt;Closed",'A. Tran'!C3:C32,"&lt;&gt;")</f>
        <v/>
      </c>
      <c r="E5" s="6">
        <f>SUMIFS('A. Tran'!I3:I32,'A. Tran'!C3:C32,"&lt;&gt;Closed",'A. Tran'!C3:C32,"&lt;&gt;")</f>
        <v/>
      </c>
      <c r="F5" s="6">
        <f>SUMIFS('A. Tran'!J3:J32,'A. Tran'!C3:C32,"&lt;&gt;Closed",'A. Tran'!C3:C32,"&lt;&gt;")</f>
        <v/>
      </c>
      <c r="G5" s="6">
        <f>SUMIFS('A. Tran'!I3:I32,'A. Tran'!C3:C32,"Closed")</f>
        <v/>
      </c>
    </row>
    <row r="6">
      <c r="A6" s="5" t="inlineStr">
        <is>
          <t>K. Williams</t>
        </is>
      </c>
      <c r="B6" t="inlineStr">
        <is>
          <t>Houston</t>
        </is>
      </c>
      <c r="C6">
        <f>COUNTIFS('K. Williams'!C3:C32,"&lt;&gt;",'K. Williams'!C3:C32,"&lt;&gt;Closed")</f>
        <v/>
      </c>
      <c r="D6" s="6">
        <f>SUMIFS('K. Williams'!D3:D32,'K. Williams'!C3:C32,"&lt;&gt;Closed",'K. Williams'!C3:C32,"&lt;&gt;")</f>
        <v/>
      </c>
      <c r="E6" s="6">
        <f>SUMIFS('K. Williams'!I3:I32,'K. Williams'!C3:C32,"&lt;&gt;Closed",'K. Williams'!C3:C32,"&lt;&gt;")</f>
        <v/>
      </c>
      <c r="F6" s="6">
        <f>SUMIFS('K. Williams'!J3:J32,'K. Williams'!C3:C32,"&lt;&gt;Closed",'K. Williams'!C3:C32,"&lt;&gt;")</f>
        <v/>
      </c>
      <c r="G6" s="6">
        <f>SUMIFS('K. Williams'!I3:I32,'K. Williams'!C3:C32,"Closed")</f>
        <v/>
      </c>
    </row>
    <row r="7">
      <c r="A7" s="5" t="inlineStr">
        <is>
          <t>R. Chen</t>
        </is>
      </c>
      <c r="B7" t="inlineStr">
        <is>
          <t>Dallas</t>
        </is>
      </c>
      <c r="C7">
        <f>COUNTIFS('R. Chen'!C3:C32,"&lt;&gt;",'R. Chen'!C3:C32,"&lt;&gt;Closed")</f>
        <v/>
      </c>
      <c r="D7" s="6">
        <f>SUMIFS('R. Chen'!D3:D32,'R. Chen'!C3:C32,"&lt;&gt;Closed",'R. Chen'!C3:C32,"&lt;&gt;")</f>
        <v/>
      </c>
      <c r="E7" s="6">
        <f>SUMIFS('R. Chen'!I3:I32,'R. Chen'!C3:C32,"&lt;&gt;Closed",'R. Chen'!C3:C32,"&lt;&gt;")</f>
        <v/>
      </c>
      <c r="F7" s="6">
        <f>SUMIFS('R. Chen'!J3:J32,'R. Chen'!C3:C32,"&lt;&gt;Closed",'R. Chen'!C3:C32,"&lt;&gt;")</f>
        <v/>
      </c>
      <c r="G7" s="6">
        <f>SUMIFS('R. Chen'!I3:I32,'R. Chen'!C3:C32,"Closed")</f>
        <v/>
      </c>
    </row>
    <row r="8">
      <c r="A8" s="5" t="inlineStr">
        <is>
          <t>S. Garcia</t>
        </is>
      </c>
      <c r="B8" t="inlineStr">
        <is>
          <t>Dallas</t>
        </is>
      </c>
      <c r="C8">
        <f>COUNTIFS('S. Garcia'!C3:C32,"&lt;&gt;",'S. Garcia'!C3:C32,"&lt;&gt;Closed")</f>
        <v/>
      </c>
      <c r="D8" s="6">
        <f>SUMIFS('S. Garcia'!D3:D32,'S. Garcia'!C3:C32,"&lt;&gt;Closed",'S. Garcia'!C3:C32,"&lt;&gt;")</f>
        <v/>
      </c>
      <c r="E8" s="6">
        <f>SUMIFS('S. Garcia'!I3:I32,'S. Garcia'!C3:C32,"&lt;&gt;Closed",'S. Garcia'!C3:C32,"&lt;&gt;")</f>
        <v/>
      </c>
      <c r="F8" s="6">
        <f>SUMIFS('S. Garcia'!J3:J32,'S. Garcia'!C3:C32,"&lt;&gt;Closed",'S. Garcia'!C3:C32,"&lt;&gt;")</f>
        <v/>
      </c>
      <c r="G8" s="6">
        <f>SUMIFS('S. Garcia'!I3:I32,'S. Garcia'!C3:C32,"Closed")</f>
        <v/>
      </c>
    </row>
    <row r="9">
      <c r="A9" s="5" t="inlineStr">
        <is>
          <t>B. Foster</t>
        </is>
      </c>
      <c r="B9" t="inlineStr">
        <is>
          <t>Dallas</t>
        </is>
      </c>
      <c r="C9">
        <f>COUNTIFS('B. Foster'!C3:C32,"&lt;&gt;",'B. Foster'!C3:C32,"&lt;&gt;Closed")</f>
        <v/>
      </c>
      <c r="D9" s="6">
        <f>SUMIFS('B. Foster'!D3:D32,'B. Foster'!C3:C32,"&lt;&gt;Closed",'B. Foster'!C3:C32,"&lt;&gt;")</f>
        <v/>
      </c>
      <c r="E9" s="6">
        <f>SUMIFS('B. Foster'!I3:I32,'B. Foster'!C3:C32,"&lt;&gt;Closed",'B. Foster'!C3:C32,"&lt;&gt;")</f>
        <v/>
      </c>
      <c r="F9" s="6">
        <f>SUMIFS('B. Foster'!J3:J32,'B. Foster'!C3:C32,"&lt;&gt;Closed",'B. Foster'!C3:C32,"&lt;&gt;")</f>
        <v/>
      </c>
      <c r="G9" s="6">
        <f>SUMIFS('B. Foster'!I3:I32,'B. Foster'!C3:C32,"Closed")</f>
        <v/>
      </c>
    </row>
    <row r="10">
      <c r="A10" s="7" t="inlineStr">
        <is>
          <t>TOTAL</t>
        </is>
      </c>
      <c r="B10" s="8" t="n"/>
      <c r="C10" s="9">
        <f>SUM(C3:C9)</f>
        <v/>
      </c>
      <c r="D10" s="10">
        <f>SUM(D3:D9)</f>
        <v/>
      </c>
      <c r="E10" s="10">
        <f>SUM(E3:E9)</f>
        <v/>
      </c>
      <c r="F10" s="10">
        <f>SUM(F3:F9)</f>
        <v/>
      </c>
      <c r="G10" s="10">
        <f>SUM(G3:G9)</f>
        <v/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2" customWidth="1" min="5" max="5"/>
    <col width="18" customWidth="1" min="6" max="6"/>
    <col width="12" customWidth="1" min="7" max="7"/>
    <col width="14" customWidth="1" min="8" max="8"/>
    <col width="16" customWidth="1" min="9" max="9"/>
    <col width="16" customWidth="1" min="10" max="10"/>
    <col width="40" customWidth="1" min="11" max="11"/>
  </cols>
  <sheetData>
    <row r="1" ht="22" customHeight="1">
      <c r="A1" s="1" t="inlineStr">
        <is>
          <t>M. Reyes · Houston · Pipeline</t>
        </is>
      </c>
    </row>
    <row r="2" ht="22" customHeight="1">
      <c r="A2" s="11" t="inlineStr">
        <is>
          <t>Customer</t>
        </is>
      </c>
      <c r="B2" s="11" t="inlineStr">
        <is>
          <t>Product</t>
        </is>
      </c>
      <c r="C2" s="11" t="inlineStr">
        <is>
          <t>Stage</t>
        </is>
      </c>
      <c r="D2" s="11" t="inlineStr">
        <is>
          <t>Amount ($)</t>
        </is>
      </c>
      <c r="E2" s="11" t="inlineStr">
        <is>
          <t>Probability</t>
        </is>
      </c>
      <c r="F2" s="11" t="inlineStr">
        <is>
          <t>Date Entered Stage</t>
        </is>
      </c>
      <c r="G2" s="11" t="inlineStr">
        <is>
          <t>Days in Stage</t>
        </is>
      </c>
      <c r="H2" s="11" t="inlineStr">
        <is>
          <t>Expected Close</t>
        </is>
      </c>
      <c r="I2" s="11" t="inlineStr">
        <is>
          <t>Annual Rev ($)</t>
        </is>
      </c>
      <c r="J2" s="11" t="inlineStr">
        <is>
          <t>Weighted Rev ($)</t>
        </is>
      </c>
      <c r="K2" s="11" t="inlineStr">
        <is>
          <t>Notes</t>
        </is>
      </c>
    </row>
    <row r="3">
      <c r="A3" t="inlineStr">
        <is>
          <t>Northstar Tech</t>
        </is>
      </c>
      <c r="B3" t="inlineStr">
        <is>
          <t>Deposits</t>
        </is>
      </c>
      <c r="C3" t="inlineStr">
        <is>
          <t>Qualified</t>
        </is>
      </c>
      <c r="D3" s="6" t="n">
        <v>1986780.75</v>
      </c>
      <c r="E3" s="12" t="n">
        <v>0.2966</v>
      </c>
      <c r="F3" s="13" t="n">
        <v>46158</v>
      </c>
      <c r="G3" s="14">
        <f>IF(F3="","",TODAY()-F3)</f>
        <v/>
      </c>
      <c r="H3" s="13" t="n">
        <v>46331</v>
      </c>
      <c r="I3" s="15">
        <f>IF(OR(B3="",D3=""),"",D3*VLOOKUP(B3,Lookup!$A$2:$B$5,2,FALSE))</f>
        <v/>
      </c>
      <c r="J3" s="15">
        <f>IF(OR(I3="",E3=""),"",I3*E3)</f>
        <v/>
      </c>
    </row>
    <row r="4">
      <c r="A4" s="16" t="inlineStr">
        <is>
          <t>Oakridge Auto</t>
        </is>
      </c>
      <c r="B4" s="16" t="inlineStr">
        <is>
          <t>Treasury Mgmt</t>
        </is>
      </c>
      <c r="C4" s="16" t="inlineStr">
        <is>
          <t>Closed</t>
        </is>
      </c>
      <c r="D4" s="17" t="n">
        <v>56255.38</v>
      </c>
      <c r="E4" s="12" t="n">
        <v>1</v>
      </c>
      <c r="F4" s="18" t="n">
        <v>46145</v>
      </c>
      <c r="G4" s="14">
        <f>IF(F4="","",TODAY()-F4)</f>
        <v/>
      </c>
      <c r="H4" s="18" t="n">
        <v>46210</v>
      </c>
      <c r="I4" s="15">
        <f>IF(OR(B4="",D4=""),"",D4*VLOOKUP(B4,Lookup!$A$2:$B$5,2,FALSE))</f>
        <v/>
      </c>
      <c r="J4" s="15">
        <f>IF(OR(I4="",E4=""),"",I4*E4)</f>
        <v/>
      </c>
      <c r="K4" s="16" t="n"/>
    </row>
    <row r="5">
      <c r="A5" t="inlineStr">
        <is>
          <t>Pacific Imports</t>
        </is>
      </c>
      <c r="B5" t="inlineStr">
        <is>
          <t>Treasury Mgmt</t>
        </is>
      </c>
      <c r="C5" t="inlineStr">
        <is>
          <t>Proposal</t>
        </is>
      </c>
      <c r="D5" s="6" t="n">
        <v>204686.79</v>
      </c>
      <c r="E5" s="12" t="n">
        <v>0.5004</v>
      </c>
      <c r="F5" s="13" t="n">
        <v>46138</v>
      </c>
      <c r="G5" s="14">
        <f>IF(F5="","",TODAY()-F5)</f>
        <v/>
      </c>
      <c r="H5" s="13" t="n">
        <v>46280</v>
      </c>
      <c r="I5" s="15">
        <f>IF(OR(B5="",D5=""),"",D5*VLOOKUP(B5,Lookup!$A$2:$B$5,2,FALSE))</f>
        <v/>
      </c>
      <c r="J5" s="15">
        <f>IF(OR(I5="",E5=""),"",I5*E5)</f>
        <v/>
      </c>
    </row>
    <row r="6">
      <c r="A6" s="16" t="inlineStr">
        <is>
          <t>Quartz Mining</t>
        </is>
      </c>
      <c r="B6" s="16" t="inlineStr">
        <is>
          <t>Deposits</t>
        </is>
      </c>
      <c r="C6" s="16" t="inlineStr">
        <is>
          <t>Closed</t>
        </is>
      </c>
      <c r="D6" s="17" t="n">
        <v>779213.01</v>
      </c>
      <c r="E6" s="12" t="n">
        <v>0.974</v>
      </c>
      <c r="F6" s="18" t="n">
        <v>46187</v>
      </c>
      <c r="G6" s="14">
        <f>IF(F6="","",TODAY()-F6)</f>
        <v/>
      </c>
      <c r="H6" s="18" t="n">
        <v>46231</v>
      </c>
      <c r="I6" s="15">
        <f>IF(OR(B6="",D6=""),"",D6*VLOOKUP(B6,Lookup!$A$2:$B$5,2,FALSE))</f>
        <v/>
      </c>
      <c r="J6" s="15">
        <f>IF(OR(I6="",E6=""),"",I6*E6)</f>
        <v/>
      </c>
      <c r="K6" s="16" t="n"/>
    </row>
    <row r="7">
      <c r="A7" t="inlineStr">
        <is>
          <t>Redwood Construction</t>
        </is>
      </c>
      <c r="B7" t="inlineStr">
        <is>
          <t>Deposits</t>
        </is>
      </c>
      <c r="C7" t="inlineStr">
        <is>
          <t>Qualified</t>
        </is>
      </c>
      <c r="D7" s="6" t="n">
        <v>2490783.84</v>
      </c>
      <c r="E7" s="12" t="n">
        <v>0.2334</v>
      </c>
      <c r="F7" s="13" t="n">
        <v>46128</v>
      </c>
      <c r="G7" s="14">
        <f>IF(F7="","",TODAY()-F7)</f>
        <v/>
      </c>
      <c r="H7" s="13" t="n">
        <v>46351</v>
      </c>
      <c r="I7" s="15">
        <f>IF(OR(B7="",D7=""),"",D7*VLOOKUP(B7,Lookup!$A$2:$B$5,2,FALSE))</f>
        <v/>
      </c>
      <c r="J7" s="15">
        <f>IF(OR(I7="",E7=""),"",I7*E7)</f>
        <v/>
      </c>
    </row>
    <row r="8">
      <c r="A8" s="16" t="inlineStr">
        <is>
          <t>Summit Hospitality</t>
        </is>
      </c>
      <c r="B8" s="16" t="inlineStr">
        <is>
          <t>Other Fees</t>
        </is>
      </c>
      <c r="C8" s="16" t="inlineStr">
        <is>
          <t>Qualified</t>
        </is>
      </c>
      <c r="D8" s="17" t="n">
        <v>56309.17</v>
      </c>
      <c r="E8" s="12" t="n">
        <v>0.2152</v>
      </c>
      <c r="F8" s="18" t="n">
        <v>46150</v>
      </c>
      <c r="G8" s="14">
        <f>IF(F8="","",TODAY()-F8)</f>
        <v/>
      </c>
      <c r="H8" s="18" t="n">
        <v>46311</v>
      </c>
      <c r="I8" s="15">
        <f>IF(OR(B8="",D8=""),"",D8*VLOOKUP(B8,Lookup!$A$2:$B$5,2,FALSE))</f>
        <v/>
      </c>
      <c r="J8" s="15">
        <f>IF(OR(I8="",E8=""),"",I8*E8)</f>
        <v/>
      </c>
      <c r="K8" s="16" t="n"/>
    </row>
    <row r="9">
      <c r="A9" t="inlineStr">
        <is>
          <t>Trinity Pharma</t>
        </is>
      </c>
      <c r="B9" t="inlineStr">
        <is>
          <t>Other Fees</t>
        </is>
      </c>
      <c r="C9" t="inlineStr">
        <is>
          <t>Lead</t>
        </is>
      </c>
      <c r="D9" s="6" t="n">
        <v>36726.21</v>
      </c>
      <c r="E9" s="12" t="n">
        <v>0.06569999999999999</v>
      </c>
      <c r="F9" s="13" t="n">
        <v>46152</v>
      </c>
      <c r="G9" s="14">
        <f>IF(F9="","",TODAY()-F9)</f>
        <v/>
      </c>
      <c r="H9" s="13" t="n">
        <v>46330</v>
      </c>
      <c r="I9" s="15">
        <f>IF(OR(B9="",D9=""),"",D9*VLOOKUP(B9,Lookup!$A$2:$B$5,2,FALSE))</f>
        <v/>
      </c>
      <c r="J9" s="15">
        <f>IF(OR(I9="",E9=""),"",I9*E9)</f>
        <v/>
      </c>
    </row>
    <row r="10">
      <c r="A10" s="16" t="inlineStr">
        <is>
          <t>Union Distributors</t>
        </is>
      </c>
      <c r="B10" s="16" t="inlineStr">
        <is>
          <t>Comm Loan</t>
        </is>
      </c>
      <c r="C10" s="16" t="inlineStr">
        <is>
          <t>Qualified</t>
        </is>
      </c>
      <c r="D10" s="17" t="n">
        <v>1681430.41</v>
      </c>
      <c r="E10" s="12" t="n">
        <v>0.22</v>
      </c>
      <c r="F10" s="18" t="n">
        <v>46115</v>
      </c>
      <c r="G10" s="14">
        <f>IF(F10="","",TODAY()-F10)</f>
        <v/>
      </c>
      <c r="H10" s="18" t="n">
        <v>46332</v>
      </c>
      <c r="I10" s="15">
        <f>IF(OR(B10="",D10=""),"",D10*VLOOKUP(B10,Lookup!$A$2:$B$5,2,FALSE))</f>
        <v/>
      </c>
      <c r="J10" s="15">
        <f>IF(OR(I10="",E10=""),"",I10*E10)</f>
        <v/>
      </c>
      <c r="K10" s="16" t="n"/>
    </row>
    <row r="11">
      <c r="A11" t="inlineStr">
        <is>
          <t>Vanguard Plastics</t>
        </is>
      </c>
      <c r="B11" t="inlineStr">
        <is>
          <t>Deposits</t>
        </is>
      </c>
      <c r="C11" t="inlineStr">
        <is>
          <t>Commit</t>
        </is>
      </c>
      <c r="D11" s="6" t="n">
        <v>1591906.93</v>
      </c>
      <c r="E11" s="12" t="n">
        <v>0.7977</v>
      </c>
      <c r="F11" s="13" t="n">
        <v>46156</v>
      </c>
      <c r="G11" s="14">
        <f>IF(F11="","",TODAY()-F11)</f>
        <v/>
      </c>
      <c r="H11" s="13" t="n">
        <v>46263</v>
      </c>
      <c r="I11" s="15">
        <f>IF(OR(B11="",D11=""),"",D11*VLOOKUP(B11,Lookup!$A$2:$B$5,2,FALSE))</f>
        <v/>
      </c>
      <c r="J11" s="15">
        <f>IF(OR(I11="",E11=""),"",I11*E11)</f>
        <v/>
      </c>
    </row>
    <row r="12">
      <c r="A12" s="16" t="inlineStr">
        <is>
          <t>Westfield Retail</t>
        </is>
      </c>
      <c r="B12" s="16" t="inlineStr">
        <is>
          <t>Deposits</t>
        </is>
      </c>
      <c r="C12" s="16" t="inlineStr">
        <is>
          <t>Lead</t>
        </is>
      </c>
      <c r="D12" s="17" t="n">
        <v>5644082.34</v>
      </c>
      <c r="E12" s="12" t="n">
        <v>0.0905</v>
      </c>
      <c r="F12" s="18" t="n">
        <v>46165</v>
      </c>
      <c r="G12" s="14">
        <f>IF(F12="","",TODAY()-F12)</f>
        <v/>
      </c>
      <c r="H12" s="18" t="n">
        <v>46380</v>
      </c>
      <c r="I12" s="15">
        <f>IF(OR(B12="",D12=""),"",D12*VLOOKUP(B12,Lookup!$A$2:$B$5,2,FALSE))</f>
        <v/>
      </c>
      <c r="J12" s="15">
        <f>IF(OR(I12="",E12=""),"",I12*E12)</f>
        <v/>
      </c>
      <c r="K12" s="16" t="n"/>
    </row>
    <row r="13">
      <c r="A13" t="inlineStr">
        <is>
          <t>Yellowstone Ranch</t>
        </is>
      </c>
      <c r="B13" t="inlineStr">
        <is>
          <t>Comm Loan</t>
        </is>
      </c>
      <c r="C13" t="inlineStr">
        <is>
          <t>Lead</t>
        </is>
      </c>
      <c r="D13" s="6" t="n">
        <v>2214860.59</v>
      </c>
      <c r="E13" s="12" t="n">
        <v>0.1229</v>
      </c>
      <c r="F13" s="13" t="n">
        <v>46158</v>
      </c>
      <c r="G13" s="14">
        <f>IF(F13="","",TODAY()-F13)</f>
        <v/>
      </c>
      <c r="H13" s="13" t="n">
        <v>46358</v>
      </c>
      <c r="I13" s="15">
        <f>IF(OR(B13="",D13=""),"",D13*VLOOKUP(B13,Lookup!$A$2:$B$5,2,FALSE))</f>
        <v/>
      </c>
      <c r="J13" s="15">
        <f>IF(OR(I13="",E13=""),"",I13*E13)</f>
        <v/>
      </c>
    </row>
    <row r="14">
      <c r="A14" s="16" t="inlineStr">
        <is>
          <t>Zenith Software</t>
        </is>
      </c>
      <c r="B14" s="16" t="inlineStr">
        <is>
          <t>Deposits</t>
        </is>
      </c>
      <c r="C14" s="16" t="inlineStr">
        <is>
          <t>Lead</t>
        </is>
      </c>
      <c r="D14" s="17" t="n">
        <v>631615.27</v>
      </c>
      <c r="E14" s="12" t="n">
        <v>0.1412</v>
      </c>
      <c r="F14" s="18" t="n">
        <v>46179</v>
      </c>
      <c r="G14" s="14">
        <f>IF(F14="","",TODAY()-F14)</f>
        <v/>
      </c>
      <c r="H14" s="18" t="n">
        <v>46364</v>
      </c>
      <c r="I14" s="15">
        <f>IF(OR(B14="",D14=""),"",D14*VLOOKUP(B14,Lookup!$A$2:$B$5,2,FALSE))</f>
        <v/>
      </c>
      <c r="J14" s="15">
        <f>IF(OR(I14="",E14=""),"",I14*E14)</f>
        <v/>
      </c>
      <c r="K14" s="16" t="n"/>
    </row>
    <row r="15">
      <c r="A15" t="inlineStr">
        <is>
          <t>Alamo Equipment</t>
        </is>
      </c>
      <c r="B15" t="inlineStr">
        <is>
          <t>Comm Loan</t>
        </is>
      </c>
      <c r="C15" t="inlineStr">
        <is>
          <t>Closed</t>
        </is>
      </c>
      <c r="D15" s="6" t="n">
        <v>815121.37</v>
      </c>
      <c r="E15" s="12" t="n">
        <v>1</v>
      </c>
      <c r="F15" s="13" t="n">
        <v>46166</v>
      </c>
      <c r="G15" s="14">
        <f>IF(F15="","",TODAY()-F15)</f>
        <v/>
      </c>
      <c r="H15" s="13" t="n">
        <v>46242</v>
      </c>
      <c r="I15" s="15">
        <f>IF(OR(B15="",D15=""),"",D15*VLOOKUP(B15,Lookup!$A$2:$B$5,2,FALSE))</f>
        <v/>
      </c>
      <c r="J15" s="15">
        <f>IF(OR(I15="",E15=""),"",I15*E15)</f>
        <v/>
      </c>
    </row>
    <row r="16">
      <c r="A16" s="16" t="inlineStr">
        <is>
          <t>Brazos Petroleum</t>
        </is>
      </c>
      <c r="B16" s="16" t="inlineStr">
        <is>
          <t>Treasury Mgmt</t>
        </is>
      </c>
      <c r="C16" s="16" t="inlineStr">
        <is>
          <t>Proposal</t>
        </is>
      </c>
      <c r="D16" s="17" t="n">
        <v>258735.19</v>
      </c>
      <c r="E16" s="12" t="n">
        <v>0.4877</v>
      </c>
      <c r="F16" s="18" t="n">
        <v>46186</v>
      </c>
      <c r="G16" s="14">
        <f>IF(F16="","",TODAY()-F16)</f>
        <v/>
      </c>
      <c r="H16" s="18" t="n">
        <v>46264</v>
      </c>
      <c r="I16" s="15">
        <f>IF(OR(B16="",D16=""),"",D16*VLOOKUP(B16,Lookup!$A$2:$B$5,2,FALSE))</f>
        <v/>
      </c>
      <c r="J16" s="15">
        <f>IF(OR(I16="",E16=""),"",I16*E16)</f>
        <v/>
      </c>
      <c r="K16" s="16" t="n"/>
    </row>
    <row r="17">
      <c r="D17" s="6" t="n"/>
      <c r="E17" s="12">
        <f>IF(C17="","",VLOOKUP(C17,Lookup!$D$2:$E$6,2,FALSE))</f>
        <v/>
      </c>
      <c r="F17" s="13" t="n"/>
      <c r="G17" s="14">
        <f>IF(F17="","",TODAY()-F17)</f>
        <v/>
      </c>
      <c r="H17" s="13" t="n"/>
      <c r="I17" s="15">
        <f>IF(OR(B17="",D17=""),"",D17*VLOOKUP(B17,Lookup!$A$2:$B$5,2,FALSE))</f>
        <v/>
      </c>
      <c r="J17" s="15">
        <f>IF(OR(I17="",E17=""),"",I17*E17)</f>
        <v/>
      </c>
    </row>
    <row r="18">
      <c r="A18" s="16" t="n"/>
      <c r="B18" s="16" t="n"/>
      <c r="C18" s="16" t="n"/>
      <c r="D18" s="17" t="n"/>
      <c r="E18" s="12">
        <f>IF(C18="","",VLOOKUP(C18,Lookup!$D$2:$E$6,2,FALSE))</f>
        <v/>
      </c>
      <c r="F18" s="18" t="n"/>
      <c r="G18" s="14">
        <f>IF(F18="","",TODAY()-F18)</f>
        <v/>
      </c>
      <c r="H18" s="18" t="n"/>
      <c r="I18" s="15">
        <f>IF(OR(B18="",D18=""),"",D18*VLOOKUP(B18,Lookup!$A$2:$B$5,2,FALSE))</f>
        <v/>
      </c>
      <c r="J18" s="15">
        <f>IF(OR(I18="",E18=""),"",I18*E18)</f>
        <v/>
      </c>
      <c r="K18" s="16" t="n"/>
    </row>
    <row r="19">
      <c r="D19" s="6" t="n"/>
      <c r="E19" s="12">
        <f>IF(C19="","",VLOOKUP(C19,Lookup!$D$2:$E$6,2,FALSE))</f>
        <v/>
      </c>
      <c r="F19" s="13" t="n"/>
      <c r="G19" s="14">
        <f>IF(F19="","",TODAY()-F19)</f>
        <v/>
      </c>
      <c r="H19" s="13" t="n"/>
      <c r="I19" s="15">
        <f>IF(OR(B19="",D19=""),"",D19*VLOOKUP(B19,Lookup!$A$2:$B$5,2,FALSE))</f>
        <v/>
      </c>
      <c r="J19" s="15">
        <f>IF(OR(I19="",E19=""),"",I19*E19)</f>
        <v/>
      </c>
    </row>
    <row r="20">
      <c r="A20" s="16" t="n"/>
      <c r="B20" s="16" t="n"/>
      <c r="C20" s="16" t="n"/>
      <c r="D20" s="17" t="n"/>
      <c r="E20" s="12">
        <f>IF(C20="","",VLOOKUP(C20,Lookup!$D$2:$E$6,2,FALSE))</f>
        <v/>
      </c>
      <c r="F20" s="18" t="n"/>
      <c r="G20" s="14">
        <f>IF(F20="","",TODAY()-F20)</f>
        <v/>
      </c>
      <c r="H20" s="18" t="n"/>
      <c r="I20" s="15">
        <f>IF(OR(B20="",D20=""),"",D20*VLOOKUP(B20,Lookup!$A$2:$B$5,2,FALSE))</f>
        <v/>
      </c>
      <c r="J20" s="15">
        <f>IF(OR(I20="",E20=""),"",I20*E20)</f>
        <v/>
      </c>
      <c r="K20" s="16" t="n"/>
    </row>
    <row r="21">
      <c r="D21" s="6" t="n"/>
      <c r="E21" s="12">
        <f>IF(C21="","",VLOOKUP(C21,Lookup!$D$2:$E$6,2,FALSE))</f>
        <v/>
      </c>
      <c r="F21" s="13" t="n"/>
      <c r="G21" s="14">
        <f>IF(F21="","",TODAY()-F21)</f>
        <v/>
      </c>
      <c r="H21" s="13" t="n"/>
      <c r="I21" s="15">
        <f>IF(OR(B21="",D21=""),"",D21*VLOOKUP(B21,Lookup!$A$2:$B$5,2,FALSE))</f>
        <v/>
      </c>
      <c r="J21" s="15">
        <f>IF(OR(I21="",E21=""),"",I21*E21)</f>
        <v/>
      </c>
    </row>
    <row r="22">
      <c r="A22" s="16" t="n"/>
      <c r="B22" s="16" t="n"/>
      <c r="C22" s="16" t="n"/>
      <c r="D22" s="17" t="n"/>
      <c r="E22" s="12">
        <f>IF(C22="","",VLOOKUP(C22,Lookup!$D$2:$E$6,2,FALSE))</f>
        <v/>
      </c>
      <c r="F22" s="18" t="n"/>
      <c r="G22" s="14">
        <f>IF(F22="","",TODAY()-F22)</f>
        <v/>
      </c>
      <c r="H22" s="18" t="n"/>
      <c r="I22" s="15">
        <f>IF(OR(B22="",D22=""),"",D22*VLOOKUP(B22,Lookup!$A$2:$B$5,2,FALSE))</f>
        <v/>
      </c>
      <c r="J22" s="15">
        <f>IF(OR(I22="",E22=""),"",I22*E22)</f>
        <v/>
      </c>
      <c r="K22" s="16" t="n"/>
    </row>
    <row r="23">
      <c r="D23" s="6" t="n"/>
      <c r="E23" s="12">
        <f>IF(C23="","",VLOOKUP(C23,Lookup!$D$2:$E$6,2,FALSE))</f>
        <v/>
      </c>
      <c r="F23" s="13" t="n"/>
      <c r="G23" s="14">
        <f>IF(F23="","",TODAY()-F23)</f>
        <v/>
      </c>
      <c r="H23" s="13" t="n"/>
      <c r="I23" s="15">
        <f>IF(OR(B23="",D23=""),"",D23*VLOOKUP(B23,Lookup!$A$2:$B$5,2,FALSE))</f>
        <v/>
      </c>
      <c r="J23" s="15">
        <f>IF(OR(I23="",E23=""),"",I23*E23)</f>
        <v/>
      </c>
    </row>
    <row r="24">
      <c r="A24" s="16" t="n"/>
      <c r="B24" s="16" t="n"/>
      <c r="C24" s="16" t="n"/>
      <c r="D24" s="17" t="n"/>
      <c r="E24" s="12">
        <f>IF(C24="","",VLOOKUP(C24,Lookup!$D$2:$E$6,2,FALSE))</f>
        <v/>
      </c>
      <c r="F24" s="18" t="n"/>
      <c r="G24" s="14">
        <f>IF(F24="","",TODAY()-F24)</f>
        <v/>
      </c>
      <c r="H24" s="18" t="n"/>
      <c r="I24" s="15">
        <f>IF(OR(B24="",D24=""),"",D24*VLOOKUP(B24,Lookup!$A$2:$B$5,2,FALSE))</f>
        <v/>
      </c>
      <c r="J24" s="15">
        <f>IF(OR(I24="",E24=""),"",I24*E24)</f>
        <v/>
      </c>
      <c r="K24" s="16" t="n"/>
    </row>
    <row r="25">
      <c r="D25" s="6" t="n"/>
      <c r="E25" s="12">
        <f>IF(C25="","",VLOOKUP(C25,Lookup!$D$2:$E$6,2,FALSE))</f>
        <v/>
      </c>
      <c r="F25" s="13" t="n"/>
      <c r="G25" s="14">
        <f>IF(F25="","",TODAY()-F25)</f>
        <v/>
      </c>
      <c r="H25" s="13" t="n"/>
      <c r="I25" s="15">
        <f>IF(OR(B25="",D25=""),"",D25*VLOOKUP(B25,Lookup!$A$2:$B$5,2,FALSE))</f>
        <v/>
      </c>
      <c r="J25" s="15">
        <f>IF(OR(I25="",E25=""),"",I25*E25)</f>
        <v/>
      </c>
    </row>
    <row r="26">
      <c r="A26" s="16" t="n"/>
      <c r="B26" s="16" t="n"/>
      <c r="C26" s="16" t="n"/>
      <c r="D26" s="17" t="n"/>
      <c r="E26" s="12">
        <f>IF(C26="","",VLOOKUP(C26,Lookup!$D$2:$E$6,2,FALSE))</f>
        <v/>
      </c>
      <c r="F26" s="18" t="n"/>
      <c r="G26" s="14">
        <f>IF(F26="","",TODAY()-F26)</f>
        <v/>
      </c>
      <c r="H26" s="18" t="n"/>
      <c r="I26" s="15">
        <f>IF(OR(B26="",D26=""),"",D26*VLOOKUP(B26,Lookup!$A$2:$B$5,2,FALSE))</f>
        <v/>
      </c>
      <c r="J26" s="15">
        <f>IF(OR(I26="",E26=""),"",I26*E26)</f>
        <v/>
      </c>
      <c r="K26" s="16" t="n"/>
    </row>
    <row r="27">
      <c r="D27" s="6" t="n"/>
      <c r="E27" s="12">
        <f>IF(C27="","",VLOOKUP(C27,Lookup!$D$2:$E$6,2,FALSE))</f>
        <v/>
      </c>
      <c r="F27" s="13" t="n"/>
      <c r="G27" s="14">
        <f>IF(F27="","",TODAY()-F27)</f>
        <v/>
      </c>
      <c r="H27" s="13" t="n"/>
      <c r="I27" s="15">
        <f>IF(OR(B27="",D27=""),"",D27*VLOOKUP(B27,Lookup!$A$2:$B$5,2,FALSE))</f>
        <v/>
      </c>
      <c r="J27" s="15">
        <f>IF(OR(I27="",E27=""),"",I27*E27)</f>
        <v/>
      </c>
    </row>
    <row r="28">
      <c r="A28" s="16" t="n"/>
      <c r="B28" s="16" t="n"/>
      <c r="C28" s="16" t="n"/>
      <c r="D28" s="17" t="n"/>
      <c r="E28" s="12">
        <f>IF(C28="","",VLOOKUP(C28,Lookup!$D$2:$E$6,2,FALSE))</f>
        <v/>
      </c>
      <c r="F28" s="18" t="n"/>
      <c r="G28" s="14">
        <f>IF(F28="","",TODAY()-F28)</f>
        <v/>
      </c>
      <c r="H28" s="18" t="n"/>
      <c r="I28" s="15">
        <f>IF(OR(B28="",D28=""),"",D28*VLOOKUP(B28,Lookup!$A$2:$B$5,2,FALSE))</f>
        <v/>
      </c>
      <c r="J28" s="15">
        <f>IF(OR(I28="",E28=""),"",I28*E28)</f>
        <v/>
      </c>
      <c r="K28" s="16" t="n"/>
    </row>
    <row r="29">
      <c r="D29" s="6" t="n"/>
      <c r="E29" s="12">
        <f>IF(C29="","",VLOOKUP(C29,Lookup!$D$2:$E$6,2,FALSE))</f>
        <v/>
      </c>
      <c r="F29" s="13" t="n"/>
      <c r="G29" s="14">
        <f>IF(F29="","",TODAY()-F29)</f>
        <v/>
      </c>
      <c r="H29" s="13" t="n"/>
      <c r="I29" s="15">
        <f>IF(OR(B29="",D29=""),"",D29*VLOOKUP(B29,Lookup!$A$2:$B$5,2,FALSE))</f>
        <v/>
      </c>
      <c r="J29" s="15">
        <f>IF(OR(I29="",E29=""),"",I29*E29)</f>
        <v/>
      </c>
    </row>
    <row r="30">
      <c r="A30" s="16" t="n"/>
      <c r="B30" s="16" t="n"/>
      <c r="C30" s="16" t="n"/>
      <c r="D30" s="17" t="n"/>
      <c r="E30" s="12">
        <f>IF(C30="","",VLOOKUP(C30,Lookup!$D$2:$E$6,2,FALSE))</f>
        <v/>
      </c>
      <c r="F30" s="18" t="n"/>
      <c r="G30" s="14">
        <f>IF(F30="","",TODAY()-F30)</f>
        <v/>
      </c>
      <c r="H30" s="18" t="n"/>
      <c r="I30" s="15">
        <f>IF(OR(B30="",D30=""),"",D30*VLOOKUP(B30,Lookup!$A$2:$B$5,2,FALSE))</f>
        <v/>
      </c>
      <c r="J30" s="15">
        <f>IF(OR(I30="",E30=""),"",I30*E30)</f>
        <v/>
      </c>
      <c r="K30" s="16" t="n"/>
    </row>
    <row r="31">
      <c r="D31" s="6" t="n"/>
      <c r="E31" s="12">
        <f>IF(C31="","",VLOOKUP(C31,Lookup!$D$2:$E$6,2,FALSE))</f>
        <v/>
      </c>
      <c r="F31" s="13" t="n"/>
      <c r="G31" s="14">
        <f>IF(F31="","",TODAY()-F31)</f>
        <v/>
      </c>
      <c r="H31" s="13" t="n"/>
      <c r="I31" s="15">
        <f>IF(OR(B31="",D31=""),"",D31*VLOOKUP(B31,Lookup!$A$2:$B$5,2,FALSE))</f>
        <v/>
      </c>
      <c r="J31" s="15">
        <f>IF(OR(I31="",E31=""),"",I31*E31)</f>
        <v/>
      </c>
    </row>
    <row r="32">
      <c r="A32" s="16" t="n"/>
      <c r="B32" s="16" t="n"/>
      <c r="C32" s="16" t="n"/>
      <c r="D32" s="17" t="n"/>
      <c r="E32" s="12">
        <f>IF(C32="","",VLOOKUP(C32,Lookup!$D$2:$E$6,2,FALSE))</f>
        <v/>
      </c>
      <c r="F32" s="18" t="n"/>
      <c r="G32" s="14">
        <f>IF(F32="","",TODAY()-F32)</f>
        <v/>
      </c>
      <c r="H32" s="18" t="n"/>
      <c r="I32" s="15">
        <f>IF(OR(B32="",D32=""),"",D32*VLOOKUP(B32,Lookup!$A$2:$B$5,2,FALSE))</f>
        <v/>
      </c>
      <c r="J32" s="15">
        <f>IF(OR(I32="",E32=""),"",I32*E32)</f>
        <v/>
      </c>
      <c r="K32" s="16" t="n"/>
    </row>
  </sheetData>
  <mergeCells count="1">
    <mergeCell ref="A1:K1"/>
  </mergeCells>
  <conditionalFormatting sqref="G3:G32">
    <cfRule type="cellIs" priority="1" operator="greaterThan" dxfId="0">
      <formula>90</formula>
    </cfRule>
    <cfRule type="cellIs" priority="2" operator="between" dxfId="1">
      <formula>61</formula>
      <formula>90</formula>
    </cfRule>
  </conditionalFormatting>
  <dataValidations count="6">
    <dataValidation sqref="B3:B32" showDropDown="0" showInputMessage="0" showErrorMessage="1" allowBlank="1" errorTitle="Invalid product" error="Pick one of: Comm Loan, Deposits, Treasury Mgmt, Other Fees" type="list">
      <formula1>=Lookup!$A$2:$A$5</formula1>
    </dataValidation>
    <dataValidation sqref="C3:C32" showDropDown="0" showInputMessage="0" showErrorMessage="1" allowBlank="1" errorTitle="Invalid stage" error="Pick one of: Lead, Qualified, Proposal, Commit, Closed" type="list">
      <formula1>=Lookup!$D$2:$D$6</formula1>
    </dataValidation>
    <dataValidation sqref="D3:D32" showDropDown="0" showInputMessage="0" showErrorMessage="0" allowBlank="1" type="decimal" operator="greaterThanOrEqual">
      <formula1>0</formula1>
    </dataValidation>
    <dataValidation sqref="E3:E32" showDropDown="0" showInputMessage="0" showErrorMessage="0" allowBlank="1" errorTitle="Invalid probability" error="Enter a decimal between 0 and 1 (e.g. 0.25 for 25%)" type="decimal" operator="between">
      <formula1>0</formula1>
      <formula2>1</formula2>
    </dataValidation>
    <dataValidation sqref="F3:F32" showDropDown="0" showInputMessage="0" showErrorMessage="0" allowBlank="1" errorTitle="Invalid date — Date Entered Stage" error="Enter a date (mm/dd/yyyy)" type="date"/>
    <dataValidation sqref="H3:H32" showDropDown="0" showInputMessage="0" showErrorMessage="0" allowBlank="1" errorTitle="Invalid date — Expected Close" error="Enter a date (mm/dd/yyyy)" type="date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2" customWidth="1" min="5" max="5"/>
    <col width="18" customWidth="1" min="6" max="6"/>
    <col width="12" customWidth="1" min="7" max="7"/>
    <col width="14" customWidth="1" min="8" max="8"/>
    <col width="16" customWidth="1" min="9" max="9"/>
    <col width="16" customWidth="1" min="10" max="10"/>
    <col width="40" customWidth="1" min="11" max="11"/>
  </cols>
  <sheetData>
    <row r="1" ht="22" customHeight="1">
      <c r="A1" s="1" t="inlineStr">
        <is>
          <t>D. Patel · Houston · Pipeline</t>
        </is>
      </c>
    </row>
    <row r="2" ht="22" customHeight="1">
      <c r="A2" s="11" t="inlineStr">
        <is>
          <t>Customer</t>
        </is>
      </c>
      <c r="B2" s="11" t="inlineStr">
        <is>
          <t>Product</t>
        </is>
      </c>
      <c r="C2" s="11" t="inlineStr">
        <is>
          <t>Stage</t>
        </is>
      </c>
      <c r="D2" s="11" t="inlineStr">
        <is>
          <t>Amount ($)</t>
        </is>
      </c>
      <c r="E2" s="11" t="inlineStr">
        <is>
          <t>Probability</t>
        </is>
      </c>
      <c r="F2" s="11" t="inlineStr">
        <is>
          <t>Date Entered Stage</t>
        </is>
      </c>
      <c r="G2" s="11" t="inlineStr">
        <is>
          <t>Days in Stage</t>
        </is>
      </c>
      <c r="H2" s="11" t="inlineStr">
        <is>
          <t>Expected Close</t>
        </is>
      </c>
      <c r="I2" s="11" t="inlineStr">
        <is>
          <t>Annual Rev ($)</t>
        </is>
      </c>
      <c r="J2" s="11" t="inlineStr">
        <is>
          <t>Weighted Rev ($)</t>
        </is>
      </c>
      <c r="K2" s="11" t="inlineStr">
        <is>
          <t>Notes</t>
        </is>
      </c>
    </row>
    <row r="3">
      <c r="A3" t="inlineStr">
        <is>
          <t>Zenith Software</t>
        </is>
      </c>
      <c r="B3" t="inlineStr">
        <is>
          <t>Deposits</t>
        </is>
      </c>
      <c r="C3" t="inlineStr">
        <is>
          <t>Lead</t>
        </is>
      </c>
      <c r="D3" s="6" t="n">
        <v>3805889.47</v>
      </c>
      <c r="E3" s="12" t="n">
        <v>0.1462</v>
      </c>
      <c r="F3" s="13" t="n">
        <v>46115</v>
      </c>
      <c r="G3" s="14">
        <f>IF(F3="","",TODAY()-F3)</f>
        <v/>
      </c>
      <c r="H3" s="13" t="n">
        <v>46383</v>
      </c>
      <c r="I3" s="15">
        <f>IF(OR(B3="",D3=""),"",D3*VLOOKUP(B3,Lookup!$A$2:$B$5,2,FALSE))</f>
        <v/>
      </c>
      <c r="J3" s="15">
        <f>IF(OR(I3="",E3=""),"",I3*E3)</f>
        <v/>
      </c>
    </row>
    <row r="4">
      <c r="A4" s="16" t="inlineStr">
        <is>
          <t>Alamo Equipment</t>
        </is>
      </c>
      <c r="B4" s="16" t="inlineStr">
        <is>
          <t>Other Fees</t>
        </is>
      </c>
      <c r="C4" s="16" t="inlineStr">
        <is>
          <t>Lead</t>
        </is>
      </c>
      <c r="D4" s="17" t="n">
        <v>44796.73</v>
      </c>
      <c r="E4" s="12" t="n">
        <v>0.0978</v>
      </c>
      <c r="F4" s="18" t="n">
        <v>46113</v>
      </c>
      <c r="G4" s="14">
        <f>IF(F4="","",TODAY()-F4)</f>
        <v/>
      </c>
      <c r="H4" s="18" t="n">
        <v>46336</v>
      </c>
      <c r="I4" s="15">
        <f>IF(OR(B4="",D4=""),"",D4*VLOOKUP(B4,Lookup!$A$2:$B$5,2,FALSE))</f>
        <v/>
      </c>
      <c r="J4" s="15">
        <f>IF(OR(I4="",E4=""),"",I4*E4)</f>
        <v/>
      </c>
      <c r="K4" s="16" t="n"/>
    </row>
    <row r="5">
      <c r="A5" t="inlineStr">
        <is>
          <t>Brazos Petroleum</t>
        </is>
      </c>
      <c r="B5" t="inlineStr">
        <is>
          <t>Other Fees</t>
        </is>
      </c>
      <c r="C5" t="inlineStr">
        <is>
          <t>Commit</t>
        </is>
      </c>
      <c r="D5" s="6" t="n">
        <v>21234.43</v>
      </c>
      <c r="E5" s="12" t="n">
        <v>0.7959000000000001</v>
      </c>
      <c r="F5" s="13" t="n">
        <v>46188</v>
      </c>
      <c r="G5" s="14">
        <f>IF(F5="","",TODAY()-F5)</f>
        <v/>
      </c>
      <c r="H5" s="13" t="n">
        <v>46244</v>
      </c>
      <c r="I5" s="15">
        <f>IF(OR(B5="",D5=""),"",D5*VLOOKUP(B5,Lookup!$A$2:$B$5,2,FALSE))</f>
        <v/>
      </c>
      <c r="J5" s="15">
        <f>IF(OR(I5="",E5=""),"",I5*E5)</f>
        <v/>
      </c>
    </row>
    <row r="6">
      <c r="A6" s="16" t="inlineStr">
        <is>
          <t>Cedar Cabinetry</t>
        </is>
      </c>
      <c r="B6" s="16" t="inlineStr">
        <is>
          <t>Deposits</t>
        </is>
      </c>
      <c r="C6" s="16" t="inlineStr">
        <is>
          <t>Qualified</t>
        </is>
      </c>
      <c r="D6" s="17" t="n">
        <v>664568.04</v>
      </c>
      <c r="E6" s="12" t="n">
        <v>0.2805</v>
      </c>
      <c r="F6" s="18" t="n">
        <v>46184</v>
      </c>
      <c r="G6" s="14">
        <f>IF(F6="","",TODAY()-F6)</f>
        <v/>
      </c>
      <c r="H6" s="18" t="n">
        <v>46339</v>
      </c>
      <c r="I6" s="15">
        <f>IF(OR(B6="",D6=""),"",D6*VLOOKUP(B6,Lookup!$A$2:$B$5,2,FALSE))</f>
        <v/>
      </c>
      <c r="J6" s="15">
        <f>IF(OR(I6="",E6=""),"",I6*E6)</f>
        <v/>
      </c>
      <c r="K6" s="16" t="n"/>
    </row>
    <row r="7">
      <c r="A7" t="inlineStr">
        <is>
          <t>Driftwood Hotels</t>
        </is>
      </c>
      <c r="B7" t="inlineStr">
        <is>
          <t>Other Fees</t>
        </is>
      </c>
      <c r="C7" t="inlineStr">
        <is>
          <t>Proposal</t>
        </is>
      </c>
      <c r="D7" s="6" t="n">
        <v>51592.1</v>
      </c>
      <c r="E7" s="12" t="n">
        <v>0.5394</v>
      </c>
      <c r="F7" s="13" t="n">
        <v>46175</v>
      </c>
      <c r="G7" s="14">
        <f>IF(F7="","",TODAY()-F7)</f>
        <v/>
      </c>
      <c r="H7" s="13" t="n">
        <v>46310</v>
      </c>
      <c r="I7" s="15">
        <f>IF(OR(B7="",D7=""),"",D7*VLOOKUP(B7,Lookup!$A$2:$B$5,2,FALSE))</f>
        <v/>
      </c>
      <c r="J7" s="15">
        <f>IF(OR(I7="",E7=""),"",I7*E7)</f>
        <v/>
      </c>
    </row>
    <row r="8">
      <c r="A8" s="16" t="inlineStr">
        <is>
          <t>Acme Holdings</t>
        </is>
      </c>
      <c r="B8" s="16" t="inlineStr">
        <is>
          <t>Deposits</t>
        </is>
      </c>
      <c r="C8" s="16" t="inlineStr">
        <is>
          <t>Commit</t>
        </is>
      </c>
      <c r="D8" s="17" t="n">
        <v>5523470.11</v>
      </c>
      <c r="E8" s="12" t="n">
        <v>0.7583</v>
      </c>
      <c r="F8" s="18" t="n">
        <v>46130</v>
      </c>
      <c r="G8" s="14">
        <f>IF(F8="","",TODAY()-F8)</f>
        <v/>
      </c>
      <c r="H8" s="18" t="n">
        <v>46253</v>
      </c>
      <c r="I8" s="15">
        <f>IF(OR(B8="",D8=""),"",D8*VLOOKUP(B8,Lookup!$A$2:$B$5,2,FALSE))</f>
        <v/>
      </c>
      <c r="J8" s="15">
        <f>IF(OR(I8="",E8=""),"",I8*E8)</f>
        <v/>
      </c>
      <c r="K8" s="16" t="n"/>
    </row>
    <row r="9">
      <c r="A9" t="inlineStr">
        <is>
          <t>Beacon Industries</t>
        </is>
      </c>
      <c r="B9" t="inlineStr">
        <is>
          <t>Treasury Mgmt</t>
        </is>
      </c>
      <c r="C9" t="inlineStr">
        <is>
          <t>Proposal</t>
        </is>
      </c>
      <c r="D9" s="6" t="n">
        <v>154984.05</v>
      </c>
      <c r="E9" s="12" t="n">
        <v>0.5372</v>
      </c>
      <c r="F9" s="13" t="n">
        <v>46123</v>
      </c>
      <c r="G9" s="14">
        <f>IF(F9="","",TODAY()-F9)</f>
        <v/>
      </c>
      <c r="H9" s="13" t="n">
        <v>46286</v>
      </c>
      <c r="I9" s="15">
        <f>IF(OR(B9="",D9=""),"",D9*VLOOKUP(B9,Lookup!$A$2:$B$5,2,FALSE))</f>
        <v/>
      </c>
      <c r="J9" s="15">
        <f>IF(OR(I9="",E9=""),"",I9*E9)</f>
        <v/>
      </c>
    </row>
    <row r="10">
      <c r="A10" s="16" t="inlineStr">
        <is>
          <t>Cypress Group</t>
        </is>
      </c>
      <c r="B10" s="16" t="inlineStr">
        <is>
          <t>Comm Loan</t>
        </is>
      </c>
      <c r="C10" s="16" t="inlineStr">
        <is>
          <t>Lead</t>
        </is>
      </c>
      <c r="D10" s="17" t="n">
        <v>1294674.45</v>
      </c>
      <c r="E10" s="12" t="n">
        <v>0.1322</v>
      </c>
      <c r="F10" s="18" t="n">
        <v>46140</v>
      </c>
      <c r="G10" s="14">
        <f>IF(F10="","",TODAY()-F10)</f>
        <v/>
      </c>
      <c r="H10" s="18" t="n">
        <v>46364</v>
      </c>
      <c r="I10" s="15">
        <f>IF(OR(B10="",D10=""),"",D10*VLOOKUP(B10,Lookup!$A$2:$B$5,2,FALSE))</f>
        <v/>
      </c>
      <c r="J10" s="15">
        <f>IF(OR(I10="",E10=""),"",I10*E10)</f>
        <v/>
      </c>
      <c r="K10" s="16" t="n"/>
    </row>
    <row r="11">
      <c r="A11" t="inlineStr">
        <is>
          <t>Delta Manufacturing</t>
        </is>
      </c>
      <c r="B11" t="inlineStr">
        <is>
          <t>Comm Loan</t>
        </is>
      </c>
      <c r="C11" t="inlineStr">
        <is>
          <t>Closed</t>
        </is>
      </c>
      <c r="D11" s="6" t="n">
        <v>670519.5699999999</v>
      </c>
      <c r="E11" s="12" t="n">
        <v>1</v>
      </c>
      <c r="F11" s="13" t="n">
        <v>46192</v>
      </c>
      <c r="G11" s="14">
        <f>IF(F11="","",TODAY()-F11)</f>
        <v/>
      </c>
      <c r="H11" s="13" t="n">
        <v>46216</v>
      </c>
      <c r="I11" s="15">
        <f>IF(OR(B11="",D11=""),"",D11*VLOOKUP(B11,Lookup!$A$2:$B$5,2,FALSE))</f>
        <v/>
      </c>
      <c r="J11" s="15">
        <f>IF(OR(I11="",E11=""),"",I11*E11)</f>
        <v/>
      </c>
    </row>
    <row r="12">
      <c r="A12" s="16" t="inlineStr">
        <is>
          <t>Evergreen Realty</t>
        </is>
      </c>
      <c r="B12" s="16" t="inlineStr">
        <is>
          <t>Comm Loan</t>
        </is>
      </c>
      <c r="C12" s="16" t="inlineStr">
        <is>
          <t>Commit</t>
        </is>
      </c>
      <c r="D12" s="17" t="n">
        <v>7093495.94</v>
      </c>
      <c r="E12" s="12" t="n">
        <v>0.8165</v>
      </c>
      <c r="F12" s="18" t="n">
        <v>46150</v>
      </c>
      <c r="G12" s="14">
        <f>IF(F12="","",TODAY()-F12)</f>
        <v/>
      </c>
      <c r="H12" s="18" t="n">
        <v>46262</v>
      </c>
      <c r="I12" s="15">
        <f>IF(OR(B12="",D12=""),"",D12*VLOOKUP(B12,Lookup!$A$2:$B$5,2,FALSE))</f>
        <v/>
      </c>
      <c r="J12" s="15">
        <f>IF(OR(I12="",E12=""),"",I12*E12)</f>
        <v/>
      </c>
      <c r="K12" s="16" t="n"/>
    </row>
    <row r="13">
      <c r="A13" t="inlineStr">
        <is>
          <t>Galleon Logistics</t>
        </is>
      </c>
      <c r="B13" t="inlineStr">
        <is>
          <t>Comm Loan</t>
        </is>
      </c>
      <c r="C13" t="inlineStr">
        <is>
          <t>Qualified</t>
        </is>
      </c>
      <c r="D13" s="6" t="n">
        <v>3025189.44</v>
      </c>
      <c r="E13" s="12" t="n">
        <v>0.259</v>
      </c>
      <c r="F13" s="13" t="n">
        <v>46174</v>
      </c>
      <c r="G13" s="14">
        <f>IF(F13="","",TODAY()-F13)</f>
        <v/>
      </c>
      <c r="H13" s="13" t="n">
        <v>46328</v>
      </c>
      <c r="I13" s="15">
        <f>IF(OR(B13="",D13=""),"",D13*VLOOKUP(B13,Lookup!$A$2:$B$5,2,FALSE))</f>
        <v/>
      </c>
      <c r="J13" s="15">
        <f>IF(OR(I13="",E13=""),"",I13*E13)</f>
        <v/>
      </c>
    </row>
    <row r="14">
      <c r="A14" s="16" t="inlineStr">
        <is>
          <t>Harbor Partners</t>
        </is>
      </c>
      <c r="B14" s="16" t="inlineStr">
        <is>
          <t>Treasury Mgmt</t>
        </is>
      </c>
      <c r="C14" s="16" t="inlineStr">
        <is>
          <t>Qualified</t>
        </is>
      </c>
      <c r="D14" s="17" t="n">
        <v>118290.88</v>
      </c>
      <c r="E14" s="12" t="n">
        <v>0.2855</v>
      </c>
      <c r="F14" s="18" t="n">
        <v>46170</v>
      </c>
      <c r="G14" s="14">
        <f>IF(F14="","",TODAY()-F14)</f>
        <v/>
      </c>
      <c r="H14" s="18" t="n">
        <v>46295</v>
      </c>
      <c r="I14" s="15">
        <f>IF(OR(B14="",D14=""),"",D14*VLOOKUP(B14,Lookup!$A$2:$B$5,2,FALSE))</f>
        <v/>
      </c>
      <c r="J14" s="15">
        <f>IF(OR(I14="",E14=""),"",I14*E14)</f>
        <v/>
      </c>
      <c r="K14" s="16" t="n"/>
    </row>
    <row r="15">
      <c r="A15" t="inlineStr">
        <is>
          <t>Ironwood Capital</t>
        </is>
      </c>
      <c r="B15" t="inlineStr">
        <is>
          <t>Comm Loan</t>
        </is>
      </c>
      <c r="C15" t="inlineStr">
        <is>
          <t>Lead</t>
        </is>
      </c>
      <c r="D15" s="6" t="n">
        <v>652838.6800000001</v>
      </c>
      <c r="E15" s="12" t="n">
        <v>0.0863</v>
      </c>
      <c r="F15" s="13" t="n">
        <v>46175</v>
      </c>
      <c r="G15" s="14">
        <f>IF(F15="","",TODAY()-F15)</f>
        <v/>
      </c>
      <c r="H15" s="13" t="n">
        <v>46368</v>
      </c>
      <c r="I15" s="15">
        <f>IF(OR(B15="",D15=""),"",D15*VLOOKUP(B15,Lookup!$A$2:$B$5,2,FALSE))</f>
        <v/>
      </c>
      <c r="J15" s="15">
        <f>IF(OR(I15="",E15=""),"",I15*E15)</f>
        <v/>
      </c>
    </row>
    <row r="16">
      <c r="A16" s="16" t="inlineStr">
        <is>
          <t>Juniper Foods</t>
        </is>
      </c>
      <c r="B16" s="16" t="inlineStr">
        <is>
          <t>Comm Loan</t>
        </is>
      </c>
      <c r="C16" s="16" t="inlineStr">
        <is>
          <t>Closed</t>
        </is>
      </c>
      <c r="D16" s="17" t="n">
        <v>1212020.72</v>
      </c>
      <c r="E16" s="12" t="n">
        <v>1</v>
      </c>
      <c r="F16" s="18" t="n">
        <v>46169</v>
      </c>
      <c r="G16" s="14">
        <f>IF(F16="","",TODAY()-F16)</f>
        <v/>
      </c>
      <c r="H16" s="18" t="n">
        <v>46229</v>
      </c>
      <c r="I16" s="15">
        <f>IF(OR(B16="",D16=""),"",D16*VLOOKUP(B16,Lookup!$A$2:$B$5,2,FALSE))</f>
        <v/>
      </c>
      <c r="J16" s="15">
        <f>IF(OR(I16="",E16=""),"",I16*E16)</f>
        <v/>
      </c>
      <c r="K16" s="16" t="n"/>
    </row>
    <row r="17">
      <c r="D17" s="6" t="n"/>
      <c r="E17" s="12">
        <f>IF(C17="","",VLOOKUP(C17,Lookup!$D$2:$E$6,2,FALSE))</f>
        <v/>
      </c>
      <c r="F17" s="13" t="n"/>
      <c r="G17" s="14">
        <f>IF(F17="","",TODAY()-F17)</f>
        <v/>
      </c>
      <c r="H17" s="13" t="n"/>
      <c r="I17" s="15">
        <f>IF(OR(B17="",D17=""),"",D17*VLOOKUP(B17,Lookup!$A$2:$B$5,2,FALSE))</f>
        <v/>
      </c>
      <c r="J17" s="15">
        <f>IF(OR(I17="",E17=""),"",I17*E17)</f>
        <v/>
      </c>
    </row>
    <row r="18">
      <c r="A18" s="16" t="n"/>
      <c r="B18" s="16" t="n"/>
      <c r="C18" s="16" t="n"/>
      <c r="D18" s="17" t="n"/>
      <c r="E18" s="12">
        <f>IF(C18="","",VLOOKUP(C18,Lookup!$D$2:$E$6,2,FALSE))</f>
        <v/>
      </c>
      <c r="F18" s="18" t="n"/>
      <c r="G18" s="14">
        <f>IF(F18="","",TODAY()-F18)</f>
        <v/>
      </c>
      <c r="H18" s="18" t="n"/>
      <c r="I18" s="15">
        <f>IF(OR(B18="",D18=""),"",D18*VLOOKUP(B18,Lookup!$A$2:$B$5,2,FALSE))</f>
        <v/>
      </c>
      <c r="J18" s="15">
        <f>IF(OR(I18="",E18=""),"",I18*E18)</f>
        <v/>
      </c>
      <c r="K18" s="16" t="n"/>
    </row>
    <row r="19">
      <c r="D19" s="6" t="n"/>
      <c r="E19" s="12">
        <f>IF(C19="","",VLOOKUP(C19,Lookup!$D$2:$E$6,2,FALSE))</f>
        <v/>
      </c>
      <c r="F19" s="13" t="n"/>
      <c r="G19" s="14">
        <f>IF(F19="","",TODAY()-F19)</f>
        <v/>
      </c>
      <c r="H19" s="13" t="n"/>
      <c r="I19" s="15">
        <f>IF(OR(B19="",D19=""),"",D19*VLOOKUP(B19,Lookup!$A$2:$B$5,2,FALSE))</f>
        <v/>
      </c>
      <c r="J19" s="15">
        <f>IF(OR(I19="",E19=""),"",I19*E19)</f>
        <v/>
      </c>
    </row>
    <row r="20">
      <c r="A20" s="16" t="n"/>
      <c r="B20" s="16" t="n"/>
      <c r="C20" s="16" t="n"/>
      <c r="D20" s="17" t="n"/>
      <c r="E20" s="12">
        <f>IF(C20="","",VLOOKUP(C20,Lookup!$D$2:$E$6,2,FALSE))</f>
        <v/>
      </c>
      <c r="F20" s="18" t="n"/>
      <c r="G20" s="14">
        <f>IF(F20="","",TODAY()-F20)</f>
        <v/>
      </c>
      <c r="H20" s="18" t="n"/>
      <c r="I20" s="15">
        <f>IF(OR(B20="",D20=""),"",D20*VLOOKUP(B20,Lookup!$A$2:$B$5,2,FALSE))</f>
        <v/>
      </c>
      <c r="J20" s="15">
        <f>IF(OR(I20="",E20=""),"",I20*E20)</f>
        <v/>
      </c>
      <c r="K20" s="16" t="n"/>
    </row>
    <row r="21">
      <c r="D21" s="6" t="n"/>
      <c r="E21" s="12">
        <f>IF(C21="","",VLOOKUP(C21,Lookup!$D$2:$E$6,2,FALSE))</f>
        <v/>
      </c>
      <c r="F21" s="13" t="n"/>
      <c r="G21" s="14">
        <f>IF(F21="","",TODAY()-F21)</f>
        <v/>
      </c>
      <c r="H21" s="13" t="n"/>
      <c r="I21" s="15">
        <f>IF(OR(B21="",D21=""),"",D21*VLOOKUP(B21,Lookup!$A$2:$B$5,2,FALSE))</f>
        <v/>
      </c>
      <c r="J21" s="15">
        <f>IF(OR(I21="",E21=""),"",I21*E21)</f>
        <v/>
      </c>
    </row>
    <row r="22">
      <c r="A22" s="16" t="n"/>
      <c r="B22" s="16" t="n"/>
      <c r="C22" s="16" t="n"/>
      <c r="D22" s="17" t="n"/>
      <c r="E22" s="12">
        <f>IF(C22="","",VLOOKUP(C22,Lookup!$D$2:$E$6,2,FALSE))</f>
        <v/>
      </c>
      <c r="F22" s="18" t="n"/>
      <c r="G22" s="14">
        <f>IF(F22="","",TODAY()-F22)</f>
        <v/>
      </c>
      <c r="H22" s="18" t="n"/>
      <c r="I22" s="15">
        <f>IF(OR(B22="",D22=""),"",D22*VLOOKUP(B22,Lookup!$A$2:$B$5,2,FALSE))</f>
        <v/>
      </c>
      <c r="J22" s="15">
        <f>IF(OR(I22="",E22=""),"",I22*E22)</f>
        <v/>
      </c>
      <c r="K22" s="16" t="n"/>
    </row>
    <row r="23">
      <c r="D23" s="6" t="n"/>
      <c r="E23" s="12">
        <f>IF(C23="","",VLOOKUP(C23,Lookup!$D$2:$E$6,2,FALSE))</f>
        <v/>
      </c>
      <c r="F23" s="13" t="n"/>
      <c r="G23" s="14">
        <f>IF(F23="","",TODAY()-F23)</f>
        <v/>
      </c>
      <c r="H23" s="13" t="n"/>
      <c r="I23" s="15">
        <f>IF(OR(B23="",D23=""),"",D23*VLOOKUP(B23,Lookup!$A$2:$B$5,2,FALSE))</f>
        <v/>
      </c>
      <c r="J23" s="15">
        <f>IF(OR(I23="",E23=""),"",I23*E23)</f>
        <v/>
      </c>
    </row>
    <row r="24">
      <c r="A24" s="16" t="n"/>
      <c r="B24" s="16" t="n"/>
      <c r="C24" s="16" t="n"/>
      <c r="D24" s="17" t="n"/>
      <c r="E24" s="12">
        <f>IF(C24="","",VLOOKUP(C24,Lookup!$D$2:$E$6,2,FALSE))</f>
        <v/>
      </c>
      <c r="F24" s="18" t="n"/>
      <c r="G24" s="14">
        <f>IF(F24="","",TODAY()-F24)</f>
        <v/>
      </c>
      <c r="H24" s="18" t="n"/>
      <c r="I24" s="15">
        <f>IF(OR(B24="",D24=""),"",D24*VLOOKUP(B24,Lookup!$A$2:$B$5,2,FALSE))</f>
        <v/>
      </c>
      <c r="J24" s="15">
        <f>IF(OR(I24="",E24=""),"",I24*E24)</f>
        <v/>
      </c>
      <c r="K24" s="16" t="n"/>
    </row>
    <row r="25">
      <c r="D25" s="6" t="n"/>
      <c r="E25" s="12">
        <f>IF(C25="","",VLOOKUP(C25,Lookup!$D$2:$E$6,2,FALSE))</f>
        <v/>
      </c>
      <c r="F25" s="13" t="n"/>
      <c r="G25" s="14">
        <f>IF(F25="","",TODAY()-F25)</f>
        <v/>
      </c>
      <c r="H25" s="13" t="n"/>
      <c r="I25" s="15">
        <f>IF(OR(B25="",D25=""),"",D25*VLOOKUP(B25,Lookup!$A$2:$B$5,2,FALSE))</f>
        <v/>
      </c>
      <c r="J25" s="15">
        <f>IF(OR(I25="",E25=""),"",I25*E25)</f>
        <v/>
      </c>
    </row>
    <row r="26">
      <c r="A26" s="16" t="n"/>
      <c r="B26" s="16" t="n"/>
      <c r="C26" s="16" t="n"/>
      <c r="D26" s="17" t="n"/>
      <c r="E26" s="12">
        <f>IF(C26="","",VLOOKUP(C26,Lookup!$D$2:$E$6,2,FALSE))</f>
        <v/>
      </c>
      <c r="F26" s="18" t="n"/>
      <c r="G26" s="14">
        <f>IF(F26="","",TODAY()-F26)</f>
        <v/>
      </c>
      <c r="H26" s="18" t="n"/>
      <c r="I26" s="15">
        <f>IF(OR(B26="",D26=""),"",D26*VLOOKUP(B26,Lookup!$A$2:$B$5,2,FALSE))</f>
        <v/>
      </c>
      <c r="J26" s="15">
        <f>IF(OR(I26="",E26=""),"",I26*E26)</f>
        <v/>
      </c>
      <c r="K26" s="16" t="n"/>
    </row>
    <row r="27">
      <c r="D27" s="6" t="n"/>
      <c r="E27" s="12">
        <f>IF(C27="","",VLOOKUP(C27,Lookup!$D$2:$E$6,2,FALSE))</f>
        <v/>
      </c>
      <c r="F27" s="13" t="n"/>
      <c r="G27" s="14">
        <f>IF(F27="","",TODAY()-F27)</f>
        <v/>
      </c>
      <c r="H27" s="13" t="n"/>
      <c r="I27" s="15">
        <f>IF(OR(B27="",D27=""),"",D27*VLOOKUP(B27,Lookup!$A$2:$B$5,2,FALSE))</f>
        <v/>
      </c>
      <c r="J27" s="15">
        <f>IF(OR(I27="",E27=""),"",I27*E27)</f>
        <v/>
      </c>
    </row>
    <row r="28">
      <c r="A28" s="16" t="n"/>
      <c r="B28" s="16" t="n"/>
      <c r="C28" s="16" t="n"/>
      <c r="D28" s="17" t="n"/>
      <c r="E28" s="12">
        <f>IF(C28="","",VLOOKUP(C28,Lookup!$D$2:$E$6,2,FALSE))</f>
        <v/>
      </c>
      <c r="F28" s="18" t="n"/>
      <c r="G28" s="14">
        <f>IF(F28="","",TODAY()-F28)</f>
        <v/>
      </c>
      <c r="H28" s="18" t="n"/>
      <c r="I28" s="15">
        <f>IF(OR(B28="",D28=""),"",D28*VLOOKUP(B28,Lookup!$A$2:$B$5,2,FALSE))</f>
        <v/>
      </c>
      <c r="J28" s="15">
        <f>IF(OR(I28="",E28=""),"",I28*E28)</f>
        <v/>
      </c>
      <c r="K28" s="16" t="n"/>
    </row>
    <row r="29">
      <c r="D29" s="6" t="n"/>
      <c r="E29" s="12">
        <f>IF(C29="","",VLOOKUP(C29,Lookup!$D$2:$E$6,2,FALSE))</f>
        <v/>
      </c>
      <c r="F29" s="13" t="n"/>
      <c r="G29" s="14">
        <f>IF(F29="","",TODAY()-F29)</f>
        <v/>
      </c>
      <c r="H29" s="13" t="n"/>
      <c r="I29" s="15">
        <f>IF(OR(B29="",D29=""),"",D29*VLOOKUP(B29,Lookup!$A$2:$B$5,2,FALSE))</f>
        <v/>
      </c>
      <c r="J29" s="15">
        <f>IF(OR(I29="",E29=""),"",I29*E29)</f>
        <v/>
      </c>
    </row>
    <row r="30">
      <c r="A30" s="16" t="n"/>
      <c r="B30" s="16" t="n"/>
      <c r="C30" s="16" t="n"/>
      <c r="D30" s="17" t="n"/>
      <c r="E30" s="12">
        <f>IF(C30="","",VLOOKUP(C30,Lookup!$D$2:$E$6,2,FALSE))</f>
        <v/>
      </c>
      <c r="F30" s="18" t="n"/>
      <c r="G30" s="14">
        <f>IF(F30="","",TODAY()-F30)</f>
        <v/>
      </c>
      <c r="H30" s="18" t="n"/>
      <c r="I30" s="15">
        <f>IF(OR(B30="",D30=""),"",D30*VLOOKUP(B30,Lookup!$A$2:$B$5,2,FALSE))</f>
        <v/>
      </c>
      <c r="J30" s="15">
        <f>IF(OR(I30="",E30=""),"",I30*E30)</f>
        <v/>
      </c>
      <c r="K30" s="16" t="n"/>
    </row>
    <row r="31">
      <c r="D31" s="6" t="n"/>
      <c r="E31" s="12">
        <f>IF(C31="","",VLOOKUP(C31,Lookup!$D$2:$E$6,2,FALSE))</f>
        <v/>
      </c>
      <c r="F31" s="13" t="n"/>
      <c r="G31" s="14">
        <f>IF(F31="","",TODAY()-F31)</f>
        <v/>
      </c>
      <c r="H31" s="13" t="n"/>
      <c r="I31" s="15">
        <f>IF(OR(B31="",D31=""),"",D31*VLOOKUP(B31,Lookup!$A$2:$B$5,2,FALSE))</f>
        <v/>
      </c>
      <c r="J31" s="15">
        <f>IF(OR(I31="",E31=""),"",I31*E31)</f>
        <v/>
      </c>
    </row>
    <row r="32">
      <c r="A32" s="16" t="n"/>
      <c r="B32" s="16" t="n"/>
      <c r="C32" s="16" t="n"/>
      <c r="D32" s="17" t="n"/>
      <c r="E32" s="12">
        <f>IF(C32="","",VLOOKUP(C32,Lookup!$D$2:$E$6,2,FALSE))</f>
        <v/>
      </c>
      <c r="F32" s="18" t="n"/>
      <c r="G32" s="14">
        <f>IF(F32="","",TODAY()-F32)</f>
        <v/>
      </c>
      <c r="H32" s="18" t="n"/>
      <c r="I32" s="15">
        <f>IF(OR(B32="",D32=""),"",D32*VLOOKUP(B32,Lookup!$A$2:$B$5,2,FALSE))</f>
        <v/>
      </c>
      <c r="J32" s="15">
        <f>IF(OR(I32="",E32=""),"",I32*E32)</f>
        <v/>
      </c>
      <c r="K32" s="16" t="n"/>
    </row>
  </sheetData>
  <mergeCells count="1">
    <mergeCell ref="A1:K1"/>
  </mergeCells>
  <conditionalFormatting sqref="G3:G32">
    <cfRule type="cellIs" priority="1" operator="greaterThan" dxfId="0">
      <formula>90</formula>
    </cfRule>
    <cfRule type="cellIs" priority="2" operator="between" dxfId="1">
      <formula>61</formula>
      <formula>90</formula>
    </cfRule>
  </conditionalFormatting>
  <dataValidations count="6">
    <dataValidation sqref="B3:B32" showDropDown="0" showInputMessage="0" showErrorMessage="1" allowBlank="1" errorTitle="Invalid product" error="Pick one of: Comm Loan, Deposits, Treasury Mgmt, Other Fees" type="list">
      <formula1>=Lookup!$A$2:$A$5</formula1>
    </dataValidation>
    <dataValidation sqref="C3:C32" showDropDown="0" showInputMessage="0" showErrorMessage="1" allowBlank="1" errorTitle="Invalid stage" error="Pick one of: Lead, Qualified, Proposal, Commit, Closed" type="list">
      <formula1>=Lookup!$D$2:$D$6</formula1>
    </dataValidation>
    <dataValidation sqref="D3:D32" showDropDown="0" showInputMessage="0" showErrorMessage="0" allowBlank="1" type="decimal" operator="greaterThanOrEqual">
      <formula1>0</formula1>
    </dataValidation>
    <dataValidation sqref="E3:E32" showDropDown="0" showInputMessage="0" showErrorMessage="0" allowBlank="1" errorTitle="Invalid probability" error="Enter a decimal between 0 and 1 (e.g. 0.25 for 25%)" type="decimal" operator="between">
      <formula1>0</formula1>
      <formula2>1</formula2>
    </dataValidation>
    <dataValidation sqref="F3:F32" showDropDown="0" showInputMessage="0" showErrorMessage="0" allowBlank="1" errorTitle="Invalid date — Date Entered Stage" error="Enter a date (mm/dd/yyyy)" type="date"/>
    <dataValidation sqref="H3:H32" showDropDown="0" showInputMessage="0" showErrorMessage="0" allowBlank="1" errorTitle="Invalid date — Expected Close" error="Enter a date (mm/dd/yyyy)" type="date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2" customWidth="1" min="5" max="5"/>
    <col width="18" customWidth="1" min="6" max="6"/>
    <col width="12" customWidth="1" min="7" max="7"/>
    <col width="14" customWidth="1" min="8" max="8"/>
    <col width="16" customWidth="1" min="9" max="9"/>
    <col width="16" customWidth="1" min="10" max="10"/>
    <col width="40" customWidth="1" min="11" max="11"/>
  </cols>
  <sheetData>
    <row r="1" ht="22" customHeight="1">
      <c r="A1" s="1" t="inlineStr">
        <is>
          <t>A. Tran · Houston · Pipeline</t>
        </is>
      </c>
    </row>
    <row r="2" ht="22" customHeight="1">
      <c r="A2" s="11" t="inlineStr">
        <is>
          <t>Customer</t>
        </is>
      </c>
      <c r="B2" s="11" t="inlineStr">
        <is>
          <t>Product</t>
        </is>
      </c>
      <c r="C2" s="11" t="inlineStr">
        <is>
          <t>Stage</t>
        </is>
      </c>
      <c r="D2" s="11" t="inlineStr">
        <is>
          <t>Amount ($)</t>
        </is>
      </c>
      <c r="E2" s="11" t="inlineStr">
        <is>
          <t>Probability</t>
        </is>
      </c>
      <c r="F2" s="11" t="inlineStr">
        <is>
          <t>Date Entered Stage</t>
        </is>
      </c>
      <c r="G2" s="11" t="inlineStr">
        <is>
          <t>Days in Stage</t>
        </is>
      </c>
      <c r="H2" s="11" t="inlineStr">
        <is>
          <t>Expected Close</t>
        </is>
      </c>
      <c r="I2" s="11" t="inlineStr">
        <is>
          <t>Annual Rev ($)</t>
        </is>
      </c>
      <c r="J2" s="11" t="inlineStr">
        <is>
          <t>Weighted Rev ($)</t>
        </is>
      </c>
      <c r="K2" s="11" t="inlineStr">
        <is>
          <t>Notes</t>
        </is>
      </c>
    </row>
    <row r="3">
      <c r="A3" t="inlineStr">
        <is>
          <t>Cedar Cabinetry</t>
        </is>
      </c>
      <c r="B3" t="inlineStr">
        <is>
          <t>Comm Loan</t>
        </is>
      </c>
      <c r="C3" t="inlineStr">
        <is>
          <t>Lead</t>
        </is>
      </c>
      <c r="D3" s="6" t="n">
        <v>1005286.41</v>
      </c>
      <c r="E3" s="12" t="n">
        <v>0.0581</v>
      </c>
      <c r="F3" s="13" t="n">
        <v>46129</v>
      </c>
      <c r="G3" s="14">
        <f>IF(F3="","",TODAY()-F3)</f>
        <v/>
      </c>
      <c r="H3" s="13" t="n">
        <v>46337</v>
      </c>
      <c r="I3" s="15">
        <f>IF(OR(B3="",D3=""),"",D3*VLOOKUP(B3,Lookup!$A$2:$B$5,2,FALSE))</f>
        <v/>
      </c>
      <c r="J3" s="15">
        <f>IF(OR(I3="",E3=""),"",I3*E3)</f>
        <v/>
      </c>
    </row>
    <row r="4">
      <c r="A4" s="16" t="inlineStr">
        <is>
          <t>Driftwood Hotels</t>
        </is>
      </c>
      <c r="B4" s="16" t="inlineStr">
        <is>
          <t>Treasury Mgmt</t>
        </is>
      </c>
      <c r="C4" s="16" t="inlineStr">
        <is>
          <t>Commit</t>
        </is>
      </c>
      <c r="D4" s="17" t="n">
        <v>76930.69</v>
      </c>
      <c r="E4" s="12" t="n">
        <v>0.764</v>
      </c>
      <c r="F4" s="18" t="n">
        <v>46120</v>
      </c>
      <c r="G4" s="14">
        <f>IF(F4="","",TODAY()-F4)</f>
        <v/>
      </c>
      <c r="H4" s="18" t="n">
        <v>46269</v>
      </c>
      <c r="I4" s="15">
        <f>IF(OR(B4="",D4=""),"",D4*VLOOKUP(B4,Lookup!$A$2:$B$5,2,FALSE))</f>
        <v/>
      </c>
      <c r="J4" s="15">
        <f>IF(OR(I4="",E4=""),"",I4*E4)</f>
        <v/>
      </c>
      <c r="K4" s="16" t="n"/>
    </row>
    <row r="5">
      <c r="A5" t="inlineStr">
        <is>
          <t>Acme Holdings</t>
        </is>
      </c>
      <c r="B5" t="inlineStr">
        <is>
          <t>Comm Loan</t>
        </is>
      </c>
      <c r="C5" t="inlineStr">
        <is>
          <t>Qualified</t>
        </is>
      </c>
      <c r="D5" s="6" t="n">
        <v>8942929.720000001</v>
      </c>
      <c r="E5" s="12" t="n">
        <v>0.2501</v>
      </c>
      <c r="F5" s="13" t="n">
        <v>46163</v>
      </c>
      <c r="G5" s="14">
        <f>IF(F5="","",TODAY()-F5)</f>
        <v/>
      </c>
      <c r="H5" s="13" t="n">
        <v>46326</v>
      </c>
      <c r="I5" s="15">
        <f>IF(OR(B5="",D5=""),"",D5*VLOOKUP(B5,Lookup!$A$2:$B$5,2,FALSE))</f>
        <v/>
      </c>
      <c r="J5" s="15">
        <f>IF(OR(I5="",E5=""),"",I5*E5)</f>
        <v/>
      </c>
    </row>
    <row r="6">
      <c r="A6" s="16" t="inlineStr">
        <is>
          <t>Beacon Industries</t>
        </is>
      </c>
      <c r="B6" s="16" t="inlineStr">
        <is>
          <t>Deposits</t>
        </is>
      </c>
      <c r="C6" s="16" t="inlineStr">
        <is>
          <t>Lead</t>
        </is>
      </c>
      <c r="D6" s="17" t="n">
        <v>2437446.78</v>
      </c>
      <c r="E6" s="12" t="n">
        <v>0.1449</v>
      </c>
      <c r="F6" s="18" t="n">
        <v>46192</v>
      </c>
      <c r="G6" s="14">
        <f>IF(F6="","",TODAY()-F6)</f>
        <v/>
      </c>
      <c r="H6" s="18" t="n">
        <v>46330</v>
      </c>
      <c r="I6" s="15">
        <f>IF(OR(B6="",D6=""),"",D6*VLOOKUP(B6,Lookup!$A$2:$B$5,2,FALSE))</f>
        <v/>
      </c>
      <c r="J6" s="15">
        <f>IF(OR(I6="",E6=""),"",I6*E6)</f>
        <v/>
      </c>
      <c r="K6" s="16" t="n"/>
    </row>
    <row r="7">
      <c r="A7" t="inlineStr">
        <is>
          <t>Cypress Group</t>
        </is>
      </c>
      <c r="B7" t="inlineStr">
        <is>
          <t>Comm Loan</t>
        </is>
      </c>
      <c r="C7" t="inlineStr">
        <is>
          <t>Proposal</t>
        </is>
      </c>
      <c r="D7" s="6" t="n">
        <v>6584533.2</v>
      </c>
      <c r="E7" s="12" t="n">
        <v>0.4954</v>
      </c>
      <c r="F7" s="13" t="n">
        <v>46134</v>
      </c>
      <c r="G7" s="14">
        <f>IF(F7="","",TODAY()-F7)</f>
        <v/>
      </c>
      <c r="H7" s="13" t="n">
        <v>46298</v>
      </c>
      <c r="I7" s="15">
        <f>IF(OR(B7="",D7=""),"",D7*VLOOKUP(B7,Lookup!$A$2:$B$5,2,FALSE))</f>
        <v/>
      </c>
      <c r="J7" s="15">
        <f>IF(OR(I7="",E7=""),"",I7*E7)</f>
        <v/>
      </c>
    </row>
    <row r="8">
      <c r="A8" s="16" t="inlineStr">
        <is>
          <t>Delta Manufacturing</t>
        </is>
      </c>
      <c r="B8" s="16" t="inlineStr">
        <is>
          <t>Other Fees</t>
        </is>
      </c>
      <c r="C8" s="16" t="inlineStr">
        <is>
          <t>Qualified</t>
        </is>
      </c>
      <c r="D8" s="17" t="n">
        <v>26664.61</v>
      </c>
      <c r="E8" s="12" t="n">
        <v>0.2668</v>
      </c>
      <c r="F8" s="18" t="n">
        <v>46183</v>
      </c>
      <c r="G8" s="14">
        <f>IF(F8="","",TODAY()-F8)</f>
        <v/>
      </c>
      <c r="H8" s="18" t="n">
        <v>46350</v>
      </c>
      <c r="I8" s="15">
        <f>IF(OR(B8="",D8=""),"",D8*VLOOKUP(B8,Lookup!$A$2:$B$5,2,FALSE))</f>
        <v/>
      </c>
      <c r="J8" s="15">
        <f>IF(OR(I8="",E8=""),"",I8*E8)</f>
        <v/>
      </c>
      <c r="K8" s="16" t="n"/>
    </row>
    <row r="9">
      <c r="A9" t="inlineStr">
        <is>
          <t>Evergreen Realty</t>
        </is>
      </c>
      <c r="B9" t="inlineStr">
        <is>
          <t>Other Fees</t>
        </is>
      </c>
      <c r="C9" t="inlineStr">
        <is>
          <t>Proposal</t>
        </is>
      </c>
      <c r="D9" s="6" t="n">
        <v>67794</v>
      </c>
      <c r="E9" s="12" t="n">
        <v>0.5078</v>
      </c>
      <c r="F9" s="13" t="n">
        <v>46193</v>
      </c>
      <c r="G9" s="14">
        <f>IF(F9="","",TODAY()-F9)</f>
        <v/>
      </c>
      <c r="H9" s="13" t="n">
        <v>46274</v>
      </c>
      <c r="I9" s="15">
        <f>IF(OR(B9="",D9=""),"",D9*VLOOKUP(B9,Lookup!$A$2:$B$5,2,FALSE))</f>
        <v/>
      </c>
      <c r="J9" s="15">
        <f>IF(OR(I9="",E9=""),"",I9*E9)</f>
        <v/>
      </c>
    </row>
    <row r="10">
      <c r="A10" s="16" t="inlineStr">
        <is>
          <t>Fairfield Energy</t>
        </is>
      </c>
      <c r="B10" s="16" t="inlineStr">
        <is>
          <t>Deposits</t>
        </is>
      </c>
      <c r="C10" s="16" t="inlineStr">
        <is>
          <t>Closed</t>
        </is>
      </c>
      <c r="D10" s="17" t="n">
        <v>713863.45</v>
      </c>
      <c r="E10" s="12" t="n">
        <v>1</v>
      </c>
      <c r="F10" s="18" t="n">
        <v>46164</v>
      </c>
      <c r="G10" s="14">
        <f>IF(F10="","",TODAY()-F10)</f>
        <v/>
      </c>
      <c r="H10" s="18" t="n">
        <v>46228</v>
      </c>
      <c r="I10" s="15">
        <f>IF(OR(B10="",D10=""),"",D10*VLOOKUP(B10,Lookup!$A$2:$B$5,2,FALSE))</f>
        <v/>
      </c>
      <c r="J10" s="15">
        <f>IF(OR(I10="",E10=""),"",I10*E10)</f>
        <v/>
      </c>
      <c r="K10" s="16" t="n"/>
    </row>
    <row r="11">
      <c r="A11" t="inlineStr">
        <is>
          <t>Galleon Logistics</t>
        </is>
      </c>
      <c r="B11" t="inlineStr">
        <is>
          <t>Comm Loan</t>
        </is>
      </c>
      <c r="C11" t="inlineStr">
        <is>
          <t>Proposal</t>
        </is>
      </c>
      <c r="D11" s="6" t="n">
        <v>4952275.33</v>
      </c>
      <c r="E11" s="12" t="n">
        <v>0.5301</v>
      </c>
      <c r="F11" s="13" t="n">
        <v>46191</v>
      </c>
      <c r="G11" s="14">
        <f>IF(F11="","",TODAY()-F11)</f>
        <v/>
      </c>
      <c r="H11" s="13" t="n">
        <v>46313</v>
      </c>
      <c r="I11" s="15">
        <f>IF(OR(B11="",D11=""),"",D11*VLOOKUP(B11,Lookup!$A$2:$B$5,2,FALSE))</f>
        <v/>
      </c>
      <c r="J11" s="15">
        <f>IF(OR(I11="",E11=""),"",I11*E11)</f>
        <v/>
      </c>
    </row>
    <row r="12">
      <c r="A12" s="16" t="inlineStr">
        <is>
          <t>Harbor Partners</t>
        </is>
      </c>
      <c r="B12" s="16" t="inlineStr">
        <is>
          <t>Comm Loan</t>
        </is>
      </c>
      <c r="C12" s="16" t="inlineStr">
        <is>
          <t>Lead</t>
        </is>
      </c>
      <c r="D12" s="17" t="n">
        <v>16637851.99</v>
      </c>
      <c r="E12" s="12" t="n">
        <v>0.1183</v>
      </c>
      <c r="F12" s="18" t="n">
        <v>46145</v>
      </c>
      <c r="G12" s="14">
        <f>IF(F12="","",TODAY()-F12)</f>
        <v/>
      </c>
      <c r="H12" s="18" t="n">
        <v>46370</v>
      </c>
      <c r="I12" s="15">
        <f>IF(OR(B12="",D12=""),"",D12*VLOOKUP(B12,Lookup!$A$2:$B$5,2,FALSE))</f>
        <v/>
      </c>
      <c r="J12" s="15">
        <f>IF(OR(I12="",E12=""),"",I12*E12)</f>
        <v/>
      </c>
      <c r="K12" s="16" t="n"/>
    </row>
    <row r="13">
      <c r="A13" t="inlineStr">
        <is>
          <t>Harbor Partners</t>
        </is>
      </c>
      <c r="B13" t="inlineStr">
        <is>
          <t>Deposits</t>
        </is>
      </c>
      <c r="C13" t="inlineStr">
        <is>
          <t>Lead</t>
        </is>
      </c>
      <c r="D13" s="6" t="n">
        <v>2865543.02</v>
      </c>
      <c r="E13" s="12" t="n">
        <v>0.1356</v>
      </c>
      <c r="F13" s="13" t="n">
        <v>46138</v>
      </c>
      <c r="G13" s="14">
        <f>IF(F13="","",TODAY()-F13)</f>
        <v/>
      </c>
      <c r="H13" s="13" t="n">
        <v>46326</v>
      </c>
      <c r="I13" s="15">
        <f>IF(OR(B13="",D13=""),"",D13*VLOOKUP(B13,Lookup!$A$2:$B$5,2,FALSE))</f>
        <v/>
      </c>
      <c r="J13" s="15">
        <f>IF(OR(I13="",E13=""),"",I13*E13)</f>
        <v/>
      </c>
    </row>
    <row r="14">
      <c r="A14" s="16" t="n"/>
      <c r="B14" s="16" t="n"/>
      <c r="C14" s="16" t="n"/>
      <c r="D14" s="17" t="n"/>
      <c r="E14" s="12">
        <f>IF(C14="","",VLOOKUP(C14,Lookup!$D$2:$E$6,2,FALSE))</f>
        <v/>
      </c>
      <c r="F14" s="18" t="n"/>
      <c r="G14" s="14">
        <f>IF(F14="","",TODAY()-F14)</f>
        <v/>
      </c>
      <c r="H14" s="18" t="n"/>
      <c r="I14" s="15">
        <f>IF(OR(B14="",D14=""),"",D14*VLOOKUP(B14,Lookup!$A$2:$B$5,2,FALSE))</f>
        <v/>
      </c>
      <c r="J14" s="15">
        <f>IF(OR(I14="",E14=""),"",I14*E14)</f>
        <v/>
      </c>
      <c r="K14" s="16" t="n"/>
    </row>
    <row r="15">
      <c r="D15" s="6" t="n"/>
      <c r="E15" s="12">
        <f>IF(C15="","",VLOOKUP(C15,Lookup!$D$2:$E$6,2,FALSE))</f>
        <v/>
      </c>
      <c r="F15" s="13" t="n"/>
      <c r="G15" s="14">
        <f>IF(F15="","",TODAY()-F15)</f>
        <v/>
      </c>
      <c r="H15" s="13" t="n"/>
      <c r="I15" s="15">
        <f>IF(OR(B15="",D15=""),"",D15*VLOOKUP(B15,Lookup!$A$2:$B$5,2,FALSE))</f>
        <v/>
      </c>
      <c r="J15" s="15">
        <f>IF(OR(I15="",E15=""),"",I15*E15)</f>
        <v/>
      </c>
    </row>
    <row r="16">
      <c r="A16" s="16" t="n"/>
      <c r="B16" s="16" t="n"/>
      <c r="C16" s="16" t="n"/>
      <c r="D16" s="17" t="n"/>
      <c r="E16" s="12">
        <f>IF(C16="","",VLOOKUP(C16,Lookup!$D$2:$E$6,2,FALSE))</f>
        <v/>
      </c>
      <c r="F16" s="18" t="n"/>
      <c r="G16" s="14">
        <f>IF(F16="","",TODAY()-F16)</f>
        <v/>
      </c>
      <c r="H16" s="18" t="n"/>
      <c r="I16" s="15">
        <f>IF(OR(B16="",D16=""),"",D16*VLOOKUP(B16,Lookup!$A$2:$B$5,2,FALSE))</f>
        <v/>
      </c>
      <c r="J16" s="15">
        <f>IF(OR(I16="",E16=""),"",I16*E16)</f>
        <v/>
      </c>
      <c r="K16" s="16" t="n"/>
    </row>
    <row r="17">
      <c r="D17" s="6" t="n"/>
      <c r="E17" s="12">
        <f>IF(C17="","",VLOOKUP(C17,Lookup!$D$2:$E$6,2,FALSE))</f>
        <v/>
      </c>
      <c r="F17" s="13" t="n"/>
      <c r="G17" s="14">
        <f>IF(F17="","",TODAY()-F17)</f>
        <v/>
      </c>
      <c r="H17" s="13" t="n"/>
      <c r="I17" s="15">
        <f>IF(OR(B17="",D17=""),"",D17*VLOOKUP(B17,Lookup!$A$2:$B$5,2,FALSE))</f>
        <v/>
      </c>
      <c r="J17" s="15">
        <f>IF(OR(I17="",E17=""),"",I17*E17)</f>
        <v/>
      </c>
    </row>
    <row r="18">
      <c r="A18" s="16" t="n"/>
      <c r="B18" s="16" t="n"/>
      <c r="C18" s="16" t="n"/>
      <c r="D18" s="17" t="n"/>
      <c r="E18" s="12">
        <f>IF(C18="","",VLOOKUP(C18,Lookup!$D$2:$E$6,2,FALSE))</f>
        <v/>
      </c>
      <c r="F18" s="18" t="n"/>
      <c r="G18" s="14">
        <f>IF(F18="","",TODAY()-F18)</f>
        <v/>
      </c>
      <c r="H18" s="18" t="n"/>
      <c r="I18" s="15">
        <f>IF(OR(B18="",D18=""),"",D18*VLOOKUP(B18,Lookup!$A$2:$B$5,2,FALSE))</f>
        <v/>
      </c>
      <c r="J18" s="15">
        <f>IF(OR(I18="",E18=""),"",I18*E18)</f>
        <v/>
      </c>
      <c r="K18" s="16" t="n"/>
    </row>
    <row r="19">
      <c r="D19" s="6" t="n"/>
      <c r="E19" s="12">
        <f>IF(C19="","",VLOOKUP(C19,Lookup!$D$2:$E$6,2,FALSE))</f>
        <v/>
      </c>
      <c r="F19" s="13" t="n"/>
      <c r="G19" s="14">
        <f>IF(F19="","",TODAY()-F19)</f>
        <v/>
      </c>
      <c r="H19" s="13" t="n"/>
      <c r="I19" s="15">
        <f>IF(OR(B19="",D19=""),"",D19*VLOOKUP(B19,Lookup!$A$2:$B$5,2,FALSE))</f>
        <v/>
      </c>
      <c r="J19" s="15">
        <f>IF(OR(I19="",E19=""),"",I19*E19)</f>
        <v/>
      </c>
    </row>
    <row r="20">
      <c r="A20" s="16" t="n"/>
      <c r="B20" s="16" t="n"/>
      <c r="C20" s="16" t="n"/>
      <c r="D20" s="17" t="n"/>
      <c r="E20" s="12">
        <f>IF(C20="","",VLOOKUP(C20,Lookup!$D$2:$E$6,2,FALSE))</f>
        <v/>
      </c>
      <c r="F20" s="18" t="n"/>
      <c r="G20" s="14">
        <f>IF(F20="","",TODAY()-F20)</f>
        <v/>
      </c>
      <c r="H20" s="18" t="n"/>
      <c r="I20" s="15">
        <f>IF(OR(B20="",D20=""),"",D20*VLOOKUP(B20,Lookup!$A$2:$B$5,2,FALSE))</f>
        <v/>
      </c>
      <c r="J20" s="15">
        <f>IF(OR(I20="",E20=""),"",I20*E20)</f>
        <v/>
      </c>
      <c r="K20" s="16" t="n"/>
    </row>
    <row r="21">
      <c r="D21" s="6" t="n"/>
      <c r="E21" s="12">
        <f>IF(C21="","",VLOOKUP(C21,Lookup!$D$2:$E$6,2,FALSE))</f>
        <v/>
      </c>
      <c r="F21" s="13" t="n"/>
      <c r="G21" s="14">
        <f>IF(F21="","",TODAY()-F21)</f>
        <v/>
      </c>
      <c r="H21" s="13" t="n"/>
      <c r="I21" s="15">
        <f>IF(OR(B21="",D21=""),"",D21*VLOOKUP(B21,Lookup!$A$2:$B$5,2,FALSE))</f>
        <v/>
      </c>
      <c r="J21" s="15">
        <f>IF(OR(I21="",E21=""),"",I21*E21)</f>
        <v/>
      </c>
    </row>
    <row r="22">
      <c r="A22" s="16" t="n"/>
      <c r="B22" s="16" t="n"/>
      <c r="C22" s="16" t="n"/>
      <c r="D22" s="17" t="n"/>
      <c r="E22" s="12">
        <f>IF(C22="","",VLOOKUP(C22,Lookup!$D$2:$E$6,2,FALSE))</f>
        <v/>
      </c>
      <c r="F22" s="18" t="n"/>
      <c r="G22" s="14">
        <f>IF(F22="","",TODAY()-F22)</f>
        <v/>
      </c>
      <c r="H22" s="18" t="n"/>
      <c r="I22" s="15">
        <f>IF(OR(B22="",D22=""),"",D22*VLOOKUP(B22,Lookup!$A$2:$B$5,2,FALSE))</f>
        <v/>
      </c>
      <c r="J22" s="15">
        <f>IF(OR(I22="",E22=""),"",I22*E22)</f>
        <v/>
      </c>
      <c r="K22" s="16" t="n"/>
    </row>
    <row r="23">
      <c r="D23" s="6" t="n"/>
      <c r="E23" s="12">
        <f>IF(C23="","",VLOOKUP(C23,Lookup!$D$2:$E$6,2,FALSE))</f>
        <v/>
      </c>
      <c r="F23" s="13" t="n"/>
      <c r="G23" s="14">
        <f>IF(F23="","",TODAY()-F23)</f>
        <v/>
      </c>
      <c r="H23" s="13" t="n"/>
      <c r="I23" s="15">
        <f>IF(OR(B23="",D23=""),"",D23*VLOOKUP(B23,Lookup!$A$2:$B$5,2,FALSE))</f>
        <v/>
      </c>
      <c r="J23" s="15">
        <f>IF(OR(I23="",E23=""),"",I23*E23)</f>
        <v/>
      </c>
    </row>
    <row r="24">
      <c r="A24" s="16" t="n"/>
      <c r="B24" s="16" t="n"/>
      <c r="C24" s="16" t="n"/>
      <c r="D24" s="17" t="n"/>
      <c r="E24" s="12">
        <f>IF(C24="","",VLOOKUP(C24,Lookup!$D$2:$E$6,2,FALSE))</f>
        <v/>
      </c>
      <c r="F24" s="18" t="n"/>
      <c r="G24" s="14">
        <f>IF(F24="","",TODAY()-F24)</f>
        <v/>
      </c>
      <c r="H24" s="18" t="n"/>
      <c r="I24" s="15">
        <f>IF(OR(B24="",D24=""),"",D24*VLOOKUP(B24,Lookup!$A$2:$B$5,2,FALSE))</f>
        <v/>
      </c>
      <c r="J24" s="15">
        <f>IF(OR(I24="",E24=""),"",I24*E24)</f>
        <v/>
      </c>
      <c r="K24" s="16" t="n"/>
    </row>
    <row r="25">
      <c r="D25" s="6" t="n"/>
      <c r="E25" s="12">
        <f>IF(C25="","",VLOOKUP(C25,Lookup!$D$2:$E$6,2,FALSE))</f>
        <v/>
      </c>
      <c r="F25" s="13" t="n"/>
      <c r="G25" s="14">
        <f>IF(F25="","",TODAY()-F25)</f>
        <v/>
      </c>
      <c r="H25" s="13" t="n"/>
      <c r="I25" s="15">
        <f>IF(OR(B25="",D25=""),"",D25*VLOOKUP(B25,Lookup!$A$2:$B$5,2,FALSE))</f>
        <v/>
      </c>
      <c r="J25" s="15">
        <f>IF(OR(I25="",E25=""),"",I25*E25)</f>
        <v/>
      </c>
    </row>
    <row r="26">
      <c r="A26" s="16" t="n"/>
      <c r="B26" s="16" t="n"/>
      <c r="C26" s="16" t="n"/>
      <c r="D26" s="17" t="n"/>
      <c r="E26" s="12">
        <f>IF(C26="","",VLOOKUP(C26,Lookup!$D$2:$E$6,2,FALSE))</f>
        <v/>
      </c>
      <c r="F26" s="18" t="n"/>
      <c r="G26" s="14">
        <f>IF(F26="","",TODAY()-F26)</f>
        <v/>
      </c>
      <c r="H26" s="18" t="n"/>
      <c r="I26" s="15">
        <f>IF(OR(B26="",D26=""),"",D26*VLOOKUP(B26,Lookup!$A$2:$B$5,2,FALSE))</f>
        <v/>
      </c>
      <c r="J26" s="15">
        <f>IF(OR(I26="",E26=""),"",I26*E26)</f>
        <v/>
      </c>
      <c r="K26" s="16" t="n"/>
    </row>
    <row r="27">
      <c r="D27" s="6" t="n"/>
      <c r="E27" s="12">
        <f>IF(C27="","",VLOOKUP(C27,Lookup!$D$2:$E$6,2,FALSE))</f>
        <v/>
      </c>
      <c r="F27" s="13" t="n"/>
      <c r="G27" s="14">
        <f>IF(F27="","",TODAY()-F27)</f>
        <v/>
      </c>
      <c r="H27" s="13" t="n"/>
      <c r="I27" s="15">
        <f>IF(OR(B27="",D27=""),"",D27*VLOOKUP(B27,Lookup!$A$2:$B$5,2,FALSE))</f>
        <v/>
      </c>
      <c r="J27" s="15">
        <f>IF(OR(I27="",E27=""),"",I27*E27)</f>
        <v/>
      </c>
    </row>
    <row r="28">
      <c r="A28" s="16" t="n"/>
      <c r="B28" s="16" t="n"/>
      <c r="C28" s="16" t="n"/>
      <c r="D28" s="17" t="n"/>
      <c r="E28" s="12">
        <f>IF(C28="","",VLOOKUP(C28,Lookup!$D$2:$E$6,2,FALSE))</f>
        <v/>
      </c>
      <c r="F28" s="18" t="n"/>
      <c r="G28" s="14">
        <f>IF(F28="","",TODAY()-F28)</f>
        <v/>
      </c>
      <c r="H28" s="18" t="n"/>
      <c r="I28" s="15">
        <f>IF(OR(B28="",D28=""),"",D28*VLOOKUP(B28,Lookup!$A$2:$B$5,2,FALSE))</f>
        <v/>
      </c>
      <c r="J28" s="15">
        <f>IF(OR(I28="",E28=""),"",I28*E28)</f>
        <v/>
      </c>
      <c r="K28" s="16" t="n"/>
    </row>
    <row r="29">
      <c r="D29" s="6" t="n"/>
      <c r="E29" s="12">
        <f>IF(C29="","",VLOOKUP(C29,Lookup!$D$2:$E$6,2,FALSE))</f>
        <v/>
      </c>
      <c r="F29" s="13" t="n"/>
      <c r="G29" s="14">
        <f>IF(F29="","",TODAY()-F29)</f>
        <v/>
      </c>
      <c r="H29" s="13" t="n"/>
      <c r="I29" s="15">
        <f>IF(OR(B29="",D29=""),"",D29*VLOOKUP(B29,Lookup!$A$2:$B$5,2,FALSE))</f>
        <v/>
      </c>
      <c r="J29" s="15">
        <f>IF(OR(I29="",E29=""),"",I29*E29)</f>
        <v/>
      </c>
    </row>
    <row r="30">
      <c r="A30" s="16" t="n"/>
      <c r="B30" s="16" t="n"/>
      <c r="C30" s="16" t="n"/>
      <c r="D30" s="17" t="n"/>
      <c r="E30" s="12">
        <f>IF(C30="","",VLOOKUP(C30,Lookup!$D$2:$E$6,2,FALSE))</f>
        <v/>
      </c>
      <c r="F30" s="18" t="n"/>
      <c r="G30" s="14">
        <f>IF(F30="","",TODAY()-F30)</f>
        <v/>
      </c>
      <c r="H30" s="18" t="n"/>
      <c r="I30" s="15">
        <f>IF(OR(B30="",D30=""),"",D30*VLOOKUP(B30,Lookup!$A$2:$B$5,2,FALSE))</f>
        <v/>
      </c>
      <c r="J30" s="15">
        <f>IF(OR(I30="",E30=""),"",I30*E30)</f>
        <v/>
      </c>
      <c r="K30" s="16" t="n"/>
    </row>
    <row r="31">
      <c r="D31" s="6" t="n"/>
      <c r="E31" s="12">
        <f>IF(C31="","",VLOOKUP(C31,Lookup!$D$2:$E$6,2,FALSE))</f>
        <v/>
      </c>
      <c r="F31" s="13" t="n"/>
      <c r="G31" s="14">
        <f>IF(F31="","",TODAY()-F31)</f>
        <v/>
      </c>
      <c r="H31" s="13" t="n"/>
      <c r="I31" s="15">
        <f>IF(OR(B31="",D31=""),"",D31*VLOOKUP(B31,Lookup!$A$2:$B$5,2,FALSE))</f>
        <v/>
      </c>
      <c r="J31" s="15">
        <f>IF(OR(I31="",E31=""),"",I31*E31)</f>
        <v/>
      </c>
    </row>
    <row r="32">
      <c r="A32" s="16" t="n"/>
      <c r="B32" s="16" t="n"/>
      <c r="C32" s="16" t="n"/>
      <c r="D32" s="17" t="n"/>
      <c r="E32" s="12">
        <f>IF(C32="","",VLOOKUP(C32,Lookup!$D$2:$E$6,2,FALSE))</f>
        <v/>
      </c>
      <c r="F32" s="18" t="n"/>
      <c r="G32" s="14">
        <f>IF(F32="","",TODAY()-F32)</f>
        <v/>
      </c>
      <c r="H32" s="18" t="n"/>
      <c r="I32" s="15">
        <f>IF(OR(B32="",D32=""),"",D32*VLOOKUP(B32,Lookup!$A$2:$B$5,2,FALSE))</f>
        <v/>
      </c>
      <c r="J32" s="15">
        <f>IF(OR(I32="",E32=""),"",I32*E32)</f>
        <v/>
      </c>
      <c r="K32" s="16" t="n"/>
    </row>
  </sheetData>
  <mergeCells count="1">
    <mergeCell ref="A1:K1"/>
  </mergeCells>
  <conditionalFormatting sqref="G3:G32">
    <cfRule type="cellIs" priority="1" operator="greaterThan" dxfId="0">
      <formula>90</formula>
    </cfRule>
    <cfRule type="cellIs" priority="2" operator="between" dxfId="1">
      <formula>61</formula>
      <formula>90</formula>
    </cfRule>
  </conditionalFormatting>
  <dataValidations count="6">
    <dataValidation sqref="B3:B32" showDropDown="0" showInputMessage="0" showErrorMessage="1" allowBlank="1" errorTitle="Invalid product" error="Pick one of: Comm Loan, Deposits, Treasury Mgmt, Other Fees" type="list">
      <formula1>=Lookup!$A$2:$A$5</formula1>
    </dataValidation>
    <dataValidation sqref="C3:C32" showDropDown="0" showInputMessage="0" showErrorMessage="1" allowBlank="1" errorTitle="Invalid stage" error="Pick one of: Lead, Qualified, Proposal, Commit, Closed" type="list">
      <formula1>=Lookup!$D$2:$D$6</formula1>
    </dataValidation>
    <dataValidation sqref="D3:D32" showDropDown="0" showInputMessage="0" showErrorMessage="0" allowBlank="1" type="decimal" operator="greaterThanOrEqual">
      <formula1>0</formula1>
    </dataValidation>
    <dataValidation sqref="E3:E32" showDropDown="0" showInputMessage="0" showErrorMessage="0" allowBlank="1" errorTitle="Invalid probability" error="Enter a decimal between 0 and 1 (e.g. 0.25 for 25%)" type="decimal" operator="between">
      <formula1>0</formula1>
      <formula2>1</formula2>
    </dataValidation>
    <dataValidation sqref="F3:F32" showDropDown="0" showInputMessage="0" showErrorMessage="0" allowBlank="1" errorTitle="Invalid date — Date Entered Stage" error="Enter a date (mm/dd/yyyy)" type="date"/>
    <dataValidation sqref="H3:H32" showDropDown="0" showInputMessage="0" showErrorMessage="0" allowBlank="1" errorTitle="Invalid date — Expected Close" error="Enter a date (mm/dd/yyyy)" type="date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2" customWidth="1" min="5" max="5"/>
    <col width="18" customWidth="1" min="6" max="6"/>
    <col width="12" customWidth="1" min="7" max="7"/>
    <col width="14" customWidth="1" min="8" max="8"/>
    <col width="16" customWidth="1" min="9" max="9"/>
    <col width="16" customWidth="1" min="10" max="10"/>
    <col width="40" customWidth="1" min="11" max="11"/>
  </cols>
  <sheetData>
    <row r="1" ht="22" customHeight="1">
      <c r="A1" s="1" t="inlineStr">
        <is>
          <t>K. Williams · Houston · Pipeline</t>
        </is>
      </c>
    </row>
    <row r="2" ht="22" customHeight="1">
      <c r="A2" s="11" t="inlineStr">
        <is>
          <t>Customer</t>
        </is>
      </c>
      <c r="B2" s="11" t="inlineStr">
        <is>
          <t>Product</t>
        </is>
      </c>
      <c r="C2" s="11" t="inlineStr">
        <is>
          <t>Stage</t>
        </is>
      </c>
      <c r="D2" s="11" t="inlineStr">
        <is>
          <t>Amount ($)</t>
        </is>
      </c>
      <c r="E2" s="11" t="inlineStr">
        <is>
          <t>Probability</t>
        </is>
      </c>
      <c r="F2" s="11" t="inlineStr">
        <is>
          <t>Date Entered Stage</t>
        </is>
      </c>
      <c r="G2" s="11" t="inlineStr">
        <is>
          <t>Days in Stage</t>
        </is>
      </c>
      <c r="H2" s="11" t="inlineStr">
        <is>
          <t>Expected Close</t>
        </is>
      </c>
      <c r="I2" s="11" t="inlineStr">
        <is>
          <t>Annual Rev ($)</t>
        </is>
      </c>
      <c r="J2" s="11" t="inlineStr">
        <is>
          <t>Weighted Rev ($)</t>
        </is>
      </c>
      <c r="K2" s="11" t="inlineStr">
        <is>
          <t>Notes</t>
        </is>
      </c>
    </row>
    <row r="3">
      <c r="A3" t="inlineStr">
        <is>
          <t>Harbor Partners</t>
        </is>
      </c>
      <c r="B3" t="inlineStr">
        <is>
          <t>Comm Loan</t>
        </is>
      </c>
      <c r="C3" t="inlineStr">
        <is>
          <t>Lead</t>
        </is>
      </c>
      <c r="D3" s="6" t="n">
        <v>15724903.49</v>
      </c>
      <c r="E3" s="12" t="n">
        <v>0.0583</v>
      </c>
      <c r="F3" s="13" t="n">
        <v>46126</v>
      </c>
      <c r="G3" s="14">
        <f>IF(F3="","",TODAY()-F3)</f>
        <v/>
      </c>
      <c r="H3" s="13" t="n">
        <v>46378</v>
      </c>
      <c r="I3" s="15">
        <f>IF(OR(B3="",D3=""),"",D3*VLOOKUP(B3,Lookup!$A$2:$B$5,2,FALSE))</f>
        <v/>
      </c>
      <c r="J3" s="15">
        <f>IF(OR(I3="",E3=""),"",I3*E3)</f>
        <v/>
      </c>
    </row>
    <row r="4">
      <c r="A4" s="16" t="inlineStr">
        <is>
          <t>Ironwood Capital</t>
        </is>
      </c>
      <c r="B4" s="16" t="inlineStr">
        <is>
          <t>Deposits</t>
        </is>
      </c>
      <c r="C4" s="16" t="inlineStr">
        <is>
          <t>Lead</t>
        </is>
      </c>
      <c r="D4" s="17" t="n">
        <v>933487.87</v>
      </c>
      <c r="E4" s="12" t="n">
        <v>0.1089</v>
      </c>
      <c r="F4" s="18" t="n">
        <v>46139</v>
      </c>
      <c r="G4" s="14">
        <f>IF(F4="","",TODAY()-F4)</f>
        <v/>
      </c>
      <c r="H4" s="18" t="n">
        <v>46375</v>
      </c>
      <c r="I4" s="15">
        <f>IF(OR(B4="",D4=""),"",D4*VLOOKUP(B4,Lookup!$A$2:$B$5,2,FALSE))</f>
        <v/>
      </c>
      <c r="J4" s="15">
        <f>IF(OR(I4="",E4=""),"",I4*E4)</f>
        <v/>
      </c>
      <c r="K4" s="16" t="n"/>
    </row>
    <row r="5">
      <c r="A5" t="inlineStr">
        <is>
          <t>Juniper Foods</t>
        </is>
      </c>
      <c r="B5" t="inlineStr">
        <is>
          <t>Comm Loan</t>
        </is>
      </c>
      <c r="C5" t="inlineStr">
        <is>
          <t>Proposal</t>
        </is>
      </c>
      <c r="D5" s="6" t="n">
        <v>779233.08</v>
      </c>
      <c r="E5" s="12" t="n">
        <v>0.4508</v>
      </c>
      <c r="F5" s="13" t="n">
        <v>46100</v>
      </c>
      <c r="G5" s="14">
        <f>IF(F5="","",TODAY()-F5)</f>
        <v/>
      </c>
      <c r="H5" s="13" t="n">
        <v>46276</v>
      </c>
      <c r="I5" s="15">
        <f>IF(OR(B5="",D5=""),"",D5*VLOOKUP(B5,Lookup!$A$2:$B$5,2,FALSE))</f>
        <v/>
      </c>
      <c r="J5" s="15">
        <f>IF(OR(I5="",E5=""),"",I5*E5)</f>
        <v/>
      </c>
    </row>
    <row r="6">
      <c r="A6" s="16" t="inlineStr">
        <is>
          <t>Keystone Steel</t>
        </is>
      </c>
      <c r="B6" s="16" t="inlineStr">
        <is>
          <t>Comm Loan</t>
        </is>
      </c>
      <c r="C6" s="16" t="inlineStr">
        <is>
          <t>Qualified</t>
        </is>
      </c>
      <c r="D6" s="17" t="n">
        <v>2585647.29</v>
      </c>
      <c r="E6" s="12" t="n">
        <v>0.2363</v>
      </c>
      <c r="F6" s="18" t="n">
        <v>46114</v>
      </c>
      <c r="G6" s="14">
        <f>IF(F6="","",TODAY()-F6)</f>
        <v/>
      </c>
      <c r="H6" s="18" t="n">
        <v>46314</v>
      </c>
      <c r="I6" s="15">
        <f>IF(OR(B6="",D6=""),"",D6*VLOOKUP(B6,Lookup!$A$2:$B$5,2,FALSE))</f>
        <v/>
      </c>
      <c r="J6" s="15">
        <f>IF(OR(I6="",E6=""),"",I6*E6)</f>
        <v/>
      </c>
      <c r="K6" s="16" t="n"/>
    </row>
    <row r="7">
      <c r="A7" t="inlineStr">
        <is>
          <t>Lakeside Medical</t>
        </is>
      </c>
      <c r="B7" t="inlineStr">
        <is>
          <t>Comm Loan</t>
        </is>
      </c>
      <c r="C7" t="inlineStr">
        <is>
          <t>Qualified</t>
        </is>
      </c>
      <c r="D7" s="6" t="n">
        <v>5200728.88</v>
      </c>
      <c r="E7" s="12" t="n">
        <v>0.2737</v>
      </c>
      <c r="F7" s="13" t="n">
        <v>46171</v>
      </c>
      <c r="G7" s="14">
        <f>IF(F7="","",TODAY()-F7)</f>
        <v/>
      </c>
      <c r="H7" s="13" t="n">
        <v>46310</v>
      </c>
      <c r="I7" s="15">
        <f>IF(OR(B7="",D7=""),"",D7*VLOOKUP(B7,Lookup!$A$2:$B$5,2,FALSE))</f>
        <v/>
      </c>
      <c r="J7" s="15">
        <f>IF(OR(I7="",E7=""),"",I7*E7)</f>
        <v/>
      </c>
    </row>
    <row r="8">
      <c r="A8" s="16" t="inlineStr">
        <is>
          <t>Mason &amp; Co.</t>
        </is>
      </c>
      <c r="B8" s="16" t="inlineStr">
        <is>
          <t>Other Fees</t>
        </is>
      </c>
      <c r="C8" s="16" t="inlineStr">
        <is>
          <t>Lead</t>
        </is>
      </c>
      <c r="D8" s="17" t="n">
        <v>22812.17</v>
      </c>
      <c r="E8" s="12" t="n">
        <v>0.0764</v>
      </c>
      <c r="F8" s="18" t="n">
        <v>46033</v>
      </c>
      <c r="G8" s="14">
        <f>IF(F8="","",TODAY()-F8)</f>
        <v/>
      </c>
      <c r="H8" s="18" t="n">
        <v>46383</v>
      </c>
      <c r="I8" s="15">
        <f>IF(OR(B8="",D8=""),"",D8*VLOOKUP(B8,Lookup!$A$2:$B$5,2,FALSE))</f>
        <v/>
      </c>
      <c r="J8" s="15">
        <f>IF(OR(I8="",E8=""),"",I8*E8)</f>
        <v/>
      </c>
      <c r="K8" s="16" t="n"/>
    </row>
    <row r="9">
      <c r="A9" t="inlineStr">
        <is>
          <t>Northstar Tech</t>
        </is>
      </c>
      <c r="B9" t="inlineStr">
        <is>
          <t>Comm Loan</t>
        </is>
      </c>
      <c r="C9" t="inlineStr">
        <is>
          <t>Lead</t>
        </is>
      </c>
      <c r="D9" s="6" t="n">
        <v>7356362.08</v>
      </c>
      <c r="E9" s="12" t="n">
        <v>0.08740000000000001</v>
      </c>
      <c r="F9" s="13" t="n">
        <v>46188</v>
      </c>
      <c r="G9" s="14">
        <f>IF(F9="","",TODAY()-F9)</f>
        <v/>
      </c>
      <c r="H9" s="13" t="n">
        <v>46377</v>
      </c>
      <c r="I9" s="15">
        <f>IF(OR(B9="",D9=""),"",D9*VLOOKUP(B9,Lookup!$A$2:$B$5,2,FALSE))</f>
        <v/>
      </c>
      <c r="J9" s="15">
        <f>IF(OR(I9="",E9=""),"",I9*E9)</f>
        <v/>
      </c>
    </row>
    <row r="10">
      <c r="A10" s="16" t="n"/>
      <c r="B10" s="16" t="n"/>
      <c r="C10" s="16" t="n"/>
      <c r="D10" s="17" t="n"/>
      <c r="E10" s="12">
        <f>IF(C10="","",VLOOKUP(C10,Lookup!$D$2:$E$6,2,FALSE))</f>
        <v/>
      </c>
      <c r="F10" s="18" t="n"/>
      <c r="G10" s="14">
        <f>IF(F10="","",TODAY()-F10)</f>
        <v/>
      </c>
      <c r="H10" s="18" t="n"/>
      <c r="I10" s="15">
        <f>IF(OR(B10="",D10=""),"",D10*VLOOKUP(B10,Lookup!$A$2:$B$5,2,FALSE))</f>
        <v/>
      </c>
      <c r="J10" s="15">
        <f>IF(OR(I10="",E10=""),"",I10*E10)</f>
        <v/>
      </c>
      <c r="K10" s="16" t="n"/>
    </row>
    <row r="11">
      <c r="D11" s="6" t="n"/>
      <c r="E11" s="12">
        <f>IF(C11="","",VLOOKUP(C11,Lookup!$D$2:$E$6,2,FALSE))</f>
        <v/>
      </c>
      <c r="F11" s="13" t="n"/>
      <c r="G11" s="14">
        <f>IF(F11="","",TODAY()-F11)</f>
        <v/>
      </c>
      <c r="H11" s="13" t="n"/>
      <c r="I11" s="15">
        <f>IF(OR(B11="",D11=""),"",D11*VLOOKUP(B11,Lookup!$A$2:$B$5,2,FALSE))</f>
        <v/>
      </c>
      <c r="J11" s="15">
        <f>IF(OR(I11="",E11=""),"",I11*E11)</f>
        <v/>
      </c>
    </row>
    <row r="12">
      <c r="A12" s="16" t="n"/>
      <c r="B12" s="16" t="n"/>
      <c r="C12" s="16" t="n"/>
      <c r="D12" s="17" t="n"/>
      <c r="E12" s="12">
        <f>IF(C12="","",VLOOKUP(C12,Lookup!$D$2:$E$6,2,FALSE))</f>
        <v/>
      </c>
      <c r="F12" s="18" t="n"/>
      <c r="G12" s="14">
        <f>IF(F12="","",TODAY()-F12)</f>
        <v/>
      </c>
      <c r="H12" s="18" t="n"/>
      <c r="I12" s="15">
        <f>IF(OR(B12="",D12=""),"",D12*VLOOKUP(B12,Lookup!$A$2:$B$5,2,FALSE))</f>
        <v/>
      </c>
      <c r="J12" s="15">
        <f>IF(OR(I12="",E12=""),"",I12*E12)</f>
        <v/>
      </c>
      <c r="K12" s="16" t="n"/>
    </row>
    <row r="13">
      <c r="D13" s="6" t="n"/>
      <c r="E13" s="12">
        <f>IF(C13="","",VLOOKUP(C13,Lookup!$D$2:$E$6,2,FALSE))</f>
        <v/>
      </c>
      <c r="F13" s="13" t="n"/>
      <c r="G13" s="14">
        <f>IF(F13="","",TODAY()-F13)</f>
        <v/>
      </c>
      <c r="H13" s="13" t="n"/>
      <c r="I13" s="15">
        <f>IF(OR(B13="",D13=""),"",D13*VLOOKUP(B13,Lookup!$A$2:$B$5,2,FALSE))</f>
        <v/>
      </c>
      <c r="J13" s="15">
        <f>IF(OR(I13="",E13=""),"",I13*E13)</f>
        <v/>
      </c>
    </row>
    <row r="14">
      <c r="A14" s="16" t="n"/>
      <c r="B14" s="16" t="n"/>
      <c r="C14" s="16" t="n"/>
      <c r="D14" s="17" t="n"/>
      <c r="E14" s="12">
        <f>IF(C14="","",VLOOKUP(C14,Lookup!$D$2:$E$6,2,FALSE))</f>
        <v/>
      </c>
      <c r="F14" s="18" t="n"/>
      <c r="G14" s="14">
        <f>IF(F14="","",TODAY()-F14)</f>
        <v/>
      </c>
      <c r="H14" s="18" t="n"/>
      <c r="I14" s="15">
        <f>IF(OR(B14="",D14=""),"",D14*VLOOKUP(B14,Lookup!$A$2:$B$5,2,FALSE))</f>
        <v/>
      </c>
      <c r="J14" s="15">
        <f>IF(OR(I14="",E14=""),"",I14*E14)</f>
        <v/>
      </c>
      <c r="K14" s="16" t="n"/>
    </row>
    <row r="15">
      <c r="D15" s="6" t="n"/>
      <c r="E15" s="12">
        <f>IF(C15="","",VLOOKUP(C15,Lookup!$D$2:$E$6,2,FALSE))</f>
        <v/>
      </c>
      <c r="F15" s="13" t="n"/>
      <c r="G15" s="14">
        <f>IF(F15="","",TODAY()-F15)</f>
        <v/>
      </c>
      <c r="H15" s="13" t="n"/>
      <c r="I15" s="15">
        <f>IF(OR(B15="",D15=""),"",D15*VLOOKUP(B15,Lookup!$A$2:$B$5,2,FALSE))</f>
        <v/>
      </c>
      <c r="J15" s="15">
        <f>IF(OR(I15="",E15=""),"",I15*E15)</f>
        <v/>
      </c>
    </row>
    <row r="16">
      <c r="A16" s="16" t="n"/>
      <c r="B16" s="16" t="n"/>
      <c r="C16" s="16" t="n"/>
      <c r="D16" s="17" t="n"/>
      <c r="E16" s="12">
        <f>IF(C16="","",VLOOKUP(C16,Lookup!$D$2:$E$6,2,FALSE))</f>
        <v/>
      </c>
      <c r="F16" s="18" t="n"/>
      <c r="G16" s="14">
        <f>IF(F16="","",TODAY()-F16)</f>
        <v/>
      </c>
      <c r="H16" s="18" t="n"/>
      <c r="I16" s="15">
        <f>IF(OR(B16="",D16=""),"",D16*VLOOKUP(B16,Lookup!$A$2:$B$5,2,FALSE))</f>
        <v/>
      </c>
      <c r="J16" s="15">
        <f>IF(OR(I16="",E16=""),"",I16*E16)</f>
        <v/>
      </c>
      <c r="K16" s="16" t="n"/>
    </row>
    <row r="17">
      <c r="D17" s="6" t="n"/>
      <c r="E17" s="12">
        <f>IF(C17="","",VLOOKUP(C17,Lookup!$D$2:$E$6,2,FALSE))</f>
        <v/>
      </c>
      <c r="F17" s="13" t="n"/>
      <c r="G17" s="14">
        <f>IF(F17="","",TODAY()-F17)</f>
        <v/>
      </c>
      <c r="H17" s="13" t="n"/>
      <c r="I17" s="15">
        <f>IF(OR(B17="",D17=""),"",D17*VLOOKUP(B17,Lookup!$A$2:$B$5,2,FALSE))</f>
        <v/>
      </c>
      <c r="J17" s="15">
        <f>IF(OR(I17="",E17=""),"",I17*E17)</f>
        <v/>
      </c>
    </row>
    <row r="18">
      <c r="A18" s="16" t="n"/>
      <c r="B18" s="16" t="n"/>
      <c r="C18" s="16" t="n"/>
      <c r="D18" s="17" t="n"/>
      <c r="E18" s="12">
        <f>IF(C18="","",VLOOKUP(C18,Lookup!$D$2:$E$6,2,FALSE))</f>
        <v/>
      </c>
      <c r="F18" s="18" t="n"/>
      <c r="G18" s="14">
        <f>IF(F18="","",TODAY()-F18)</f>
        <v/>
      </c>
      <c r="H18" s="18" t="n"/>
      <c r="I18" s="15">
        <f>IF(OR(B18="",D18=""),"",D18*VLOOKUP(B18,Lookup!$A$2:$B$5,2,FALSE))</f>
        <v/>
      </c>
      <c r="J18" s="15">
        <f>IF(OR(I18="",E18=""),"",I18*E18)</f>
        <v/>
      </c>
      <c r="K18" s="16" t="n"/>
    </row>
    <row r="19">
      <c r="D19" s="6" t="n"/>
      <c r="E19" s="12">
        <f>IF(C19="","",VLOOKUP(C19,Lookup!$D$2:$E$6,2,FALSE))</f>
        <v/>
      </c>
      <c r="F19" s="13" t="n"/>
      <c r="G19" s="14">
        <f>IF(F19="","",TODAY()-F19)</f>
        <v/>
      </c>
      <c r="H19" s="13" t="n"/>
      <c r="I19" s="15">
        <f>IF(OR(B19="",D19=""),"",D19*VLOOKUP(B19,Lookup!$A$2:$B$5,2,FALSE))</f>
        <v/>
      </c>
      <c r="J19" s="15">
        <f>IF(OR(I19="",E19=""),"",I19*E19)</f>
        <v/>
      </c>
    </row>
    <row r="20">
      <c r="A20" s="16" t="n"/>
      <c r="B20" s="16" t="n"/>
      <c r="C20" s="16" t="n"/>
      <c r="D20" s="17" t="n"/>
      <c r="E20" s="12">
        <f>IF(C20="","",VLOOKUP(C20,Lookup!$D$2:$E$6,2,FALSE))</f>
        <v/>
      </c>
      <c r="F20" s="18" t="n"/>
      <c r="G20" s="14">
        <f>IF(F20="","",TODAY()-F20)</f>
        <v/>
      </c>
      <c r="H20" s="18" t="n"/>
      <c r="I20" s="15">
        <f>IF(OR(B20="",D20=""),"",D20*VLOOKUP(B20,Lookup!$A$2:$B$5,2,FALSE))</f>
        <v/>
      </c>
      <c r="J20" s="15">
        <f>IF(OR(I20="",E20=""),"",I20*E20)</f>
        <v/>
      </c>
      <c r="K20" s="16" t="n"/>
    </row>
    <row r="21">
      <c r="D21" s="6" t="n"/>
      <c r="E21" s="12">
        <f>IF(C21="","",VLOOKUP(C21,Lookup!$D$2:$E$6,2,FALSE))</f>
        <v/>
      </c>
      <c r="F21" s="13" t="n"/>
      <c r="G21" s="14">
        <f>IF(F21="","",TODAY()-F21)</f>
        <v/>
      </c>
      <c r="H21" s="13" t="n"/>
      <c r="I21" s="15">
        <f>IF(OR(B21="",D21=""),"",D21*VLOOKUP(B21,Lookup!$A$2:$B$5,2,FALSE))</f>
        <v/>
      </c>
      <c r="J21" s="15">
        <f>IF(OR(I21="",E21=""),"",I21*E21)</f>
        <v/>
      </c>
    </row>
    <row r="22">
      <c r="A22" s="16" t="n"/>
      <c r="B22" s="16" t="n"/>
      <c r="C22" s="16" t="n"/>
      <c r="D22" s="17" t="n"/>
      <c r="E22" s="12">
        <f>IF(C22="","",VLOOKUP(C22,Lookup!$D$2:$E$6,2,FALSE))</f>
        <v/>
      </c>
      <c r="F22" s="18" t="n"/>
      <c r="G22" s="14">
        <f>IF(F22="","",TODAY()-F22)</f>
        <v/>
      </c>
      <c r="H22" s="18" t="n"/>
      <c r="I22" s="15">
        <f>IF(OR(B22="",D22=""),"",D22*VLOOKUP(B22,Lookup!$A$2:$B$5,2,FALSE))</f>
        <v/>
      </c>
      <c r="J22" s="15">
        <f>IF(OR(I22="",E22=""),"",I22*E22)</f>
        <v/>
      </c>
      <c r="K22" s="16" t="n"/>
    </row>
    <row r="23">
      <c r="D23" s="6" t="n"/>
      <c r="E23" s="12">
        <f>IF(C23="","",VLOOKUP(C23,Lookup!$D$2:$E$6,2,FALSE))</f>
        <v/>
      </c>
      <c r="F23" s="13" t="n"/>
      <c r="G23" s="14">
        <f>IF(F23="","",TODAY()-F23)</f>
        <v/>
      </c>
      <c r="H23" s="13" t="n"/>
      <c r="I23" s="15">
        <f>IF(OR(B23="",D23=""),"",D23*VLOOKUP(B23,Lookup!$A$2:$B$5,2,FALSE))</f>
        <v/>
      </c>
      <c r="J23" s="15">
        <f>IF(OR(I23="",E23=""),"",I23*E23)</f>
        <v/>
      </c>
    </row>
    <row r="24">
      <c r="A24" s="16" t="n"/>
      <c r="B24" s="16" t="n"/>
      <c r="C24" s="16" t="n"/>
      <c r="D24" s="17" t="n"/>
      <c r="E24" s="12">
        <f>IF(C24="","",VLOOKUP(C24,Lookup!$D$2:$E$6,2,FALSE))</f>
        <v/>
      </c>
      <c r="F24" s="18" t="n"/>
      <c r="G24" s="14">
        <f>IF(F24="","",TODAY()-F24)</f>
        <v/>
      </c>
      <c r="H24" s="18" t="n"/>
      <c r="I24" s="15">
        <f>IF(OR(B24="",D24=""),"",D24*VLOOKUP(B24,Lookup!$A$2:$B$5,2,FALSE))</f>
        <v/>
      </c>
      <c r="J24" s="15">
        <f>IF(OR(I24="",E24=""),"",I24*E24)</f>
        <v/>
      </c>
      <c r="K24" s="16" t="n"/>
    </row>
    <row r="25">
      <c r="D25" s="6" t="n"/>
      <c r="E25" s="12">
        <f>IF(C25="","",VLOOKUP(C25,Lookup!$D$2:$E$6,2,FALSE))</f>
        <v/>
      </c>
      <c r="F25" s="13" t="n"/>
      <c r="G25" s="14">
        <f>IF(F25="","",TODAY()-F25)</f>
        <v/>
      </c>
      <c r="H25" s="13" t="n"/>
      <c r="I25" s="15">
        <f>IF(OR(B25="",D25=""),"",D25*VLOOKUP(B25,Lookup!$A$2:$B$5,2,FALSE))</f>
        <v/>
      </c>
      <c r="J25" s="15">
        <f>IF(OR(I25="",E25=""),"",I25*E25)</f>
        <v/>
      </c>
    </row>
    <row r="26">
      <c r="A26" s="16" t="n"/>
      <c r="B26" s="16" t="n"/>
      <c r="C26" s="16" t="n"/>
      <c r="D26" s="17" t="n"/>
      <c r="E26" s="12">
        <f>IF(C26="","",VLOOKUP(C26,Lookup!$D$2:$E$6,2,FALSE))</f>
        <v/>
      </c>
      <c r="F26" s="18" t="n"/>
      <c r="G26" s="14">
        <f>IF(F26="","",TODAY()-F26)</f>
        <v/>
      </c>
      <c r="H26" s="18" t="n"/>
      <c r="I26" s="15">
        <f>IF(OR(B26="",D26=""),"",D26*VLOOKUP(B26,Lookup!$A$2:$B$5,2,FALSE))</f>
        <v/>
      </c>
      <c r="J26" s="15">
        <f>IF(OR(I26="",E26=""),"",I26*E26)</f>
        <v/>
      </c>
      <c r="K26" s="16" t="n"/>
    </row>
    <row r="27">
      <c r="D27" s="6" t="n"/>
      <c r="E27" s="12">
        <f>IF(C27="","",VLOOKUP(C27,Lookup!$D$2:$E$6,2,FALSE))</f>
        <v/>
      </c>
      <c r="F27" s="13" t="n"/>
      <c r="G27" s="14">
        <f>IF(F27="","",TODAY()-F27)</f>
        <v/>
      </c>
      <c r="H27" s="13" t="n"/>
      <c r="I27" s="15">
        <f>IF(OR(B27="",D27=""),"",D27*VLOOKUP(B27,Lookup!$A$2:$B$5,2,FALSE))</f>
        <v/>
      </c>
      <c r="J27" s="15">
        <f>IF(OR(I27="",E27=""),"",I27*E27)</f>
        <v/>
      </c>
    </row>
    <row r="28">
      <c r="A28" s="16" t="n"/>
      <c r="B28" s="16" t="n"/>
      <c r="C28" s="16" t="n"/>
      <c r="D28" s="17" t="n"/>
      <c r="E28" s="12">
        <f>IF(C28="","",VLOOKUP(C28,Lookup!$D$2:$E$6,2,FALSE))</f>
        <v/>
      </c>
      <c r="F28" s="18" t="n"/>
      <c r="G28" s="14">
        <f>IF(F28="","",TODAY()-F28)</f>
        <v/>
      </c>
      <c r="H28" s="18" t="n"/>
      <c r="I28" s="15">
        <f>IF(OR(B28="",D28=""),"",D28*VLOOKUP(B28,Lookup!$A$2:$B$5,2,FALSE))</f>
        <v/>
      </c>
      <c r="J28" s="15">
        <f>IF(OR(I28="",E28=""),"",I28*E28)</f>
        <v/>
      </c>
      <c r="K28" s="16" t="n"/>
    </row>
    <row r="29">
      <c r="D29" s="6" t="n"/>
      <c r="E29" s="12">
        <f>IF(C29="","",VLOOKUP(C29,Lookup!$D$2:$E$6,2,FALSE))</f>
        <v/>
      </c>
      <c r="F29" s="13" t="n"/>
      <c r="G29" s="14">
        <f>IF(F29="","",TODAY()-F29)</f>
        <v/>
      </c>
      <c r="H29" s="13" t="n"/>
      <c r="I29" s="15">
        <f>IF(OR(B29="",D29=""),"",D29*VLOOKUP(B29,Lookup!$A$2:$B$5,2,FALSE))</f>
        <v/>
      </c>
      <c r="J29" s="15">
        <f>IF(OR(I29="",E29=""),"",I29*E29)</f>
        <v/>
      </c>
    </row>
    <row r="30">
      <c r="A30" s="16" t="n"/>
      <c r="B30" s="16" t="n"/>
      <c r="C30" s="16" t="n"/>
      <c r="D30" s="17" t="n"/>
      <c r="E30" s="12">
        <f>IF(C30="","",VLOOKUP(C30,Lookup!$D$2:$E$6,2,FALSE))</f>
        <v/>
      </c>
      <c r="F30" s="18" t="n"/>
      <c r="G30" s="14">
        <f>IF(F30="","",TODAY()-F30)</f>
        <v/>
      </c>
      <c r="H30" s="18" t="n"/>
      <c r="I30" s="15">
        <f>IF(OR(B30="",D30=""),"",D30*VLOOKUP(B30,Lookup!$A$2:$B$5,2,FALSE))</f>
        <v/>
      </c>
      <c r="J30" s="15">
        <f>IF(OR(I30="",E30=""),"",I30*E30)</f>
        <v/>
      </c>
      <c r="K30" s="16" t="n"/>
    </row>
    <row r="31">
      <c r="D31" s="6" t="n"/>
      <c r="E31" s="12">
        <f>IF(C31="","",VLOOKUP(C31,Lookup!$D$2:$E$6,2,FALSE))</f>
        <v/>
      </c>
      <c r="F31" s="13" t="n"/>
      <c r="G31" s="14">
        <f>IF(F31="","",TODAY()-F31)</f>
        <v/>
      </c>
      <c r="H31" s="13" t="n"/>
      <c r="I31" s="15">
        <f>IF(OR(B31="",D31=""),"",D31*VLOOKUP(B31,Lookup!$A$2:$B$5,2,FALSE))</f>
        <v/>
      </c>
      <c r="J31" s="15">
        <f>IF(OR(I31="",E31=""),"",I31*E31)</f>
        <v/>
      </c>
    </row>
    <row r="32">
      <c r="A32" s="16" t="n"/>
      <c r="B32" s="16" t="n"/>
      <c r="C32" s="16" t="n"/>
      <c r="D32" s="17" t="n"/>
      <c r="E32" s="12">
        <f>IF(C32="","",VLOOKUP(C32,Lookup!$D$2:$E$6,2,FALSE))</f>
        <v/>
      </c>
      <c r="F32" s="18" t="n"/>
      <c r="G32" s="14">
        <f>IF(F32="","",TODAY()-F32)</f>
        <v/>
      </c>
      <c r="H32" s="18" t="n"/>
      <c r="I32" s="15">
        <f>IF(OR(B32="",D32=""),"",D32*VLOOKUP(B32,Lookup!$A$2:$B$5,2,FALSE))</f>
        <v/>
      </c>
      <c r="J32" s="15">
        <f>IF(OR(I32="",E32=""),"",I32*E32)</f>
        <v/>
      </c>
      <c r="K32" s="16" t="n"/>
    </row>
  </sheetData>
  <mergeCells count="1">
    <mergeCell ref="A1:K1"/>
  </mergeCells>
  <conditionalFormatting sqref="G3:G32">
    <cfRule type="cellIs" priority="1" operator="greaterThan" dxfId="0">
      <formula>90</formula>
    </cfRule>
    <cfRule type="cellIs" priority="2" operator="between" dxfId="1">
      <formula>61</formula>
      <formula>90</formula>
    </cfRule>
  </conditionalFormatting>
  <dataValidations count="6">
    <dataValidation sqref="B3:B32" showDropDown="0" showInputMessage="0" showErrorMessage="1" allowBlank="1" errorTitle="Invalid product" error="Pick one of: Comm Loan, Deposits, Treasury Mgmt, Other Fees" type="list">
      <formula1>=Lookup!$A$2:$A$5</formula1>
    </dataValidation>
    <dataValidation sqref="C3:C32" showDropDown="0" showInputMessage="0" showErrorMessage="1" allowBlank="1" errorTitle="Invalid stage" error="Pick one of: Lead, Qualified, Proposal, Commit, Closed" type="list">
      <formula1>=Lookup!$D$2:$D$6</formula1>
    </dataValidation>
    <dataValidation sqref="D3:D32" showDropDown="0" showInputMessage="0" showErrorMessage="0" allowBlank="1" type="decimal" operator="greaterThanOrEqual">
      <formula1>0</formula1>
    </dataValidation>
    <dataValidation sqref="E3:E32" showDropDown="0" showInputMessage="0" showErrorMessage="0" allowBlank="1" errorTitle="Invalid probability" error="Enter a decimal between 0 and 1 (e.g. 0.25 for 25%)" type="decimal" operator="between">
      <formula1>0</formula1>
      <formula2>1</formula2>
    </dataValidation>
    <dataValidation sqref="F3:F32" showDropDown="0" showInputMessage="0" showErrorMessage="0" allowBlank="1" errorTitle="Invalid date — Date Entered Stage" error="Enter a date (mm/dd/yyyy)" type="date"/>
    <dataValidation sqref="H3:H32" showDropDown="0" showInputMessage="0" showErrorMessage="0" allowBlank="1" errorTitle="Invalid date — Expected Close" error="Enter a date (mm/dd/yyyy)" type="date"/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2" customWidth="1" min="5" max="5"/>
    <col width="18" customWidth="1" min="6" max="6"/>
    <col width="12" customWidth="1" min="7" max="7"/>
    <col width="14" customWidth="1" min="8" max="8"/>
    <col width="16" customWidth="1" min="9" max="9"/>
    <col width="16" customWidth="1" min="10" max="10"/>
    <col width="40" customWidth="1" min="11" max="11"/>
  </cols>
  <sheetData>
    <row r="1" ht="22" customHeight="1">
      <c r="A1" s="1" t="inlineStr">
        <is>
          <t>R. Chen · Dallas · Pipeline</t>
        </is>
      </c>
    </row>
    <row r="2" ht="22" customHeight="1">
      <c r="A2" s="11" t="inlineStr">
        <is>
          <t>Customer</t>
        </is>
      </c>
      <c r="B2" s="11" t="inlineStr">
        <is>
          <t>Product</t>
        </is>
      </c>
      <c r="C2" s="11" t="inlineStr">
        <is>
          <t>Stage</t>
        </is>
      </c>
      <c r="D2" s="11" t="inlineStr">
        <is>
          <t>Amount ($)</t>
        </is>
      </c>
      <c r="E2" s="11" t="inlineStr">
        <is>
          <t>Probability</t>
        </is>
      </c>
      <c r="F2" s="11" t="inlineStr">
        <is>
          <t>Date Entered Stage</t>
        </is>
      </c>
      <c r="G2" s="11" t="inlineStr">
        <is>
          <t>Days in Stage</t>
        </is>
      </c>
      <c r="H2" s="11" t="inlineStr">
        <is>
          <t>Expected Close</t>
        </is>
      </c>
      <c r="I2" s="11" t="inlineStr">
        <is>
          <t>Annual Rev ($)</t>
        </is>
      </c>
      <c r="J2" s="11" t="inlineStr">
        <is>
          <t>Weighted Rev ($)</t>
        </is>
      </c>
      <c r="K2" s="11" t="inlineStr">
        <is>
          <t>Notes</t>
        </is>
      </c>
    </row>
    <row r="3">
      <c r="A3" t="inlineStr">
        <is>
          <t>Redwood Construction</t>
        </is>
      </c>
      <c r="B3" t="inlineStr">
        <is>
          <t>Comm Loan</t>
        </is>
      </c>
      <c r="C3" t="inlineStr">
        <is>
          <t>Commit</t>
        </is>
      </c>
      <c r="D3" s="6" t="n">
        <v>17680675.93</v>
      </c>
      <c r="E3" s="12" t="n">
        <v>0.7914</v>
      </c>
      <c r="F3" s="13" t="n">
        <v>46142</v>
      </c>
      <c r="G3" s="14">
        <f>IF(F3="","",TODAY()-F3)</f>
        <v/>
      </c>
      <c r="H3" s="13" t="n">
        <v>46261</v>
      </c>
      <c r="I3" s="15">
        <f>IF(OR(B3="",D3=""),"",D3*VLOOKUP(B3,Lookup!$A$2:$B$5,2,FALSE))</f>
        <v/>
      </c>
      <c r="J3" s="15">
        <f>IF(OR(I3="",E3=""),"",I3*E3)</f>
        <v/>
      </c>
    </row>
    <row r="4">
      <c r="A4" s="16" t="inlineStr">
        <is>
          <t>Summit Hospitality</t>
        </is>
      </c>
      <c r="B4" s="16" t="inlineStr">
        <is>
          <t>Comm Loan</t>
        </is>
      </c>
      <c r="C4" s="16" t="inlineStr">
        <is>
          <t>Proposal</t>
        </is>
      </c>
      <c r="D4" s="17" t="n">
        <v>2595942.77</v>
      </c>
      <c r="E4" s="12" t="n">
        <v>0.4503</v>
      </c>
      <c r="F4" s="18" t="n">
        <v>46142</v>
      </c>
      <c r="G4" s="14">
        <f>IF(F4="","",TODAY()-F4)</f>
        <v/>
      </c>
      <c r="H4" s="18" t="n">
        <v>46307</v>
      </c>
      <c r="I4" s="15">
        <f>IF(OR(B4="",D4=""),"",D4*VLOOKUP(B4,Lookup!$A$2:$B$5,2,FALSE))</f>
        <v/>
      </c>
      <c r="J4" s="15">
        <f>IF(OR(I4="",E4=""),"",I4*E4)</f>
        <v/>
      </c>
      <c r="K4" s="16" t="n"/>
    </row>
    <row r="5">
      <c r="A5" t="inlineStr">
        <is>
          <t>Trinity Pharma</t>
        </is>
      </c>
      <c r="B5" t="inlineStr">
        <is>
          <t>Comm Loan</t>
        </is>
      </c>
      <c r="C5" t="inlineStr">
        <is>
          <t>Lead</t>
        </is>
      </c>
      <c r="D5" s="6" t="n">
        <v>10550099.4</v>
      </c>
      <c r="E5" s="12" t="n">
        <v>0.0508</v>
      </c>
      <c r="F5" s="13" t="n">
        <v>46137</v>
      </c>
      <c r="G5" s="14">
        <f>IF(F5="","",TODAY()-F5)</f>
        <v/>
      </c>
      <c r="H5" s="13" t="n">
        <v>46352</v>
      </c>
      <c r="I5" s="15">
        <f>IF(OR(B5="",D5=""),"",D5*VLOOKUP(B5,Lookup!$A$2:$B$5,2,FALSE))</f>
        <v/>
      </c>
      <c r="J5" s="15">
        <f>IF(OR(I5="",E5=""),"",I5*E5)</f>
        <v/>
      </c>
    </row>
    <row r="6">
      <c r="A6" s="16" t="inlineStr">
        <is>
          <t>Union Distributors</t>
        </is>
      </c>
      <c r="B6" s="16" t="inlineStr">
        <is>
          <t>Deposits</t>
        </is>
      </c>
      <c r="C6" s="16" t="inlineStr">
        <is>
          <t>Qualified</t>
        </is>
      </c>
      <c r="D6" s="17" t="n">
        <v>1055220.28</v>
      </c>
      <c r="E6" s="12" t="n">
        <v>0.2275</v>
      </c>
      <c r="F6" s="18" t="n">
        <v>46182</v>
      </c>
      <c r="G6" s="14">
        <f>IF(F6="","",TODAY()-F6)</f>
        <v/>
      </c>
      <c r="H6" s="18" t="n">
        <v>46337</v>
      </c>
      <c r="I6" s="15">
        <f>IF(OR(B6="",D6=""),"",D6*VLOOKUP(B6,Lookup!$A$2:$B$5,2,FALSE))</f>
        <v/>
      </c>
      <c r="J6" s="15">
        <f>IF(OR(I6="",E6=""),"",I6*E6)</f>
        <v/>
      </c>
      <c r="K6" s="16" t="n"/>
    </row>
    <row r="7">
      <c r="A7" t="inlineStr">
        <is>
          <t>Vanguard Plastics</t>
        </is>
      </c>
      <c r="B7" t="inlineStr">
        <is>
          <t>Deposits</t>
        </is>
      </c>
      <c r="C7" t="inlineStr">
        <is>
          <t>Qualified</t>
        </is>
      </c>
      <c r="D7" s="6" t="n">
        <v>4639920.43</v>
      </c>
      <c r="E7" s="12" t="n">
        <v>0.2146</v>
      </c>
      <c r="F7" s="13" t="n">
        <v>46126</v>
      </c>
      <c r="G7" s="14">
        <f>IF(F7="","",TODAY()-F7)</f>
        <v/>
      </c>
      <c r="H7" s="13" t="n">
        <v>46330</v>
      </c>
      <c r="I7" s="15">
        <f>IF(OR(B7="",D7=""),"",D7*VLOOKUP(B7,Lookup!$A$2:$B$5,2,FALSE))</f>
        <v/>
      </c>
      <c r="J7" s="15">
        <f>IF(OR(I7="",E7=""),"",I7*E7)</f>
        <v/>
      </c>
    </row>
    <row r="8">
      <c r="A8" s="16" t="inlineStr">
        <is>
          <t>Westfield Retail</t>
        </is>
      </c>
      <c r="B8" s="16" t="inlineStr">
        <is>
          <t>Comm Loan</t>
        </is>
      </c>
      <c r="C8" s="16" t="inlineStr">
        <is>
          <t>Lead</t>
        </is>
      </c>
      <c r="D8" s="17" t="n">
        <v>1585817.67</v>
      </c>
      <c r="E8" s="12" t="n">
        <v>0.1178</v>
      </c>
      <c r="F8" s="18" t="n">
        <v>46167</v>
      </c>
      <c r="G8" s="14">
        <f>IF(F8="","",TODAY()-F8)</f>
        <v/>
      </c>
      <c r="H8" s="18" t="n">
        <v>46331</v>
      </c>
      <c r="I8" s="15">
        <f>IF(OR(B8="",D8=""),"",D8*VLOOKUP(B8,Lookup!$A$2:$B$5,2,FALSE))</f>
        <v/>
      </c>
      <c r="J8" s="15">
        <f>IF(OR(I8="",E8=""),"",I8*E8)</f>
        <v/>
      </c>
      <c r="K8" s="16" t="n"/>
    </row>
    <row r="9">
      <c r="A9" t="inlineStr">
        <is>
          <t>Xander Aviation</t>
        </is>
      </c>
      <c r="B9" t="inlineStr">
        <is>
          <t>Comm Loan</t>
        </is>
      </c>
      <c r="C9" t="inlineStr">
        <is>
          <t>Lead</t>
        </is>
      </c>
      <c r="D9" s="6" t="n">
        <v>2728841.32</v>
      </c>
      <c r="E9" s="12" t="n">
        <v>0.1017</v>
      </c>
      <c r="F9" s="13" t="n">
        <v>46182</v>
      </c>
      <c r="G9" s="14">
        <f>IF(F9="","",TODAY()-F9)</f>
        <v/>
      </c>
      <c r="H9" s="13" t="n">
        <v>46363</v>
      </c>
      <c r="I9" s="15">
        <f>IF(OR(B9="",D9=""),"",D9*VLOOKUP(B9,Lookup!$A$2:$B$5,2,FALSE))</f>
        <v/>
      </c>
      <c r="J9" s="15">
        <f>IF(OR(I9="",E9=""),"",I9*E9)</f>
        <v/>
      </c>
    </row>
    <row r="10">
      <c r="A10" s="16" t="inlineStr">
        <is>
          <t>Yellowstone Ranch</t>
        </is>
      </c>
      <c r="B10" s="16" t="inlineStr">
        <is>
          <t>Other Fees</t>
        </is>
      </c>
      <c r="C10" s="16" t="inlineStr">
        <is>
          <t>Proposal</t>
        </is>
      </c>
      <c r="D10" s="17" t="n">
        <v>24484.22</v>
      </c>
      <c r="E10" s="12" t="n">
        <v>0.4725</v>
      </c>
      <c r="F10" s="18" t="n">
        <v>46115</v>
      </c>
      <c r="G10" s="14">
        <f>IF(F10="","",TODAY()-F10)</f>
        <v/>
      </c>
      <c r="H10" s="18" t="n">
        <v>46270</v>
      </c>
      <c r="I10" s="15">
        <f>IF(OR(B10="",D10=""),"",D10*VLOOKUP(B10,Lookup!$A$2:$B$5,2,FALSE))</f>
        <v/>
      </c>
      <c r="J10" s="15">
        <f>IF(OR(I10="",E10=""),"",I10*E10)</f>
        <v/>
      </c>
      <c r="K10" s="16" t="n"/>
    </row>
    <row r="11">
      <c r="A11" t="inlineStr">
        <is>
          <t>Zenith Software</t>
        </is>
      </c>
      <c r="B11" t="inlineStr">
        <is>
          <t>Deposits</t>
        </is>
      </c>
      <c r="C11" t="inlineStr">
        <is>
          <t>Lead</t>
        </is>
      </c>
      <c r="D11" s="6" t="n">
        <v>3267346.24</v>
      </c>
      <c r="E11" s="12" t="n">
        <v>0.117</v>
      </c>
      <c r="F11" s="13" t="n">
        <v>46162</v>
      </c>
      <c r="G11" s="14">
        <f>IF(F11="","",TODAY()-F11)</f>
        <v/>
      </c>
      <c r="H11" s="13" t="n">
        <v>46333</v>
      </c>
      <c r="I11" s="15">
        <f>IF(OR(B11="",D11=""),"",D11*VLOOKUP(B11,Lookup!$A$2:$B$5,2,FALSE))</f>
        <v/>
      </c>
      <c r="J11" s="15">
        <f>IF(OR(I11="",E11=""),"",I11*E11)</f>
        <v/>
      </c>
    </row>
    <row r="12">
      <c r="A12" s="16" t="n"/>
      <c r="B12" s="16" t="n"/>
      <c r="C12" s="16" t="n"/>
      <c r="D12" s="17" t="n"/>
      <c r="E12" s="12">
        <f>IF(C12="","",VLOOKUP(C12,Lookup!$D$2:$E$6,2,FALSE))</f>
        <v/>
      </c>
      <c r="F12" s="18" t="n"/>
      <c r="G12" s="14">
        <f>IF(F12="","",TODAY()-F12)</f>
        <v/>
      </c>
      <c r="H12" s="18" t="n"/>
      <c r="I12" s="15">
        <f>IF(OR(B12="",D12=""),"",D12*VLOOKUP(B12,Lookup!$A$2:$B$5,2,FALSE))</f>
        <v/>
      </c>
      <c r="J12" s="15">
        <f>IF(OR(I12="",E12=""),"",I12*E12)</f>
        <v/>
      </c>
      <c r="K12" s="16" t="n"/>
    </row>
    <row r="13">
      <c r="D13" s="6" t="n"/>
      <c r="E13" s="12">
        <f>IF(C13="","",VLOOKUP(C13,Lookup!$D$2:$E$6,2,FALSE))</f>
        <v/>
      </c>
      <c r="F13" s="13" t="n"/>
      <c r="G13" s="14">
        <f>IF(F13="","",TODAY()-F13)</f>
        <v/>
      </c>
      <c r="H13" s="13" t="n"/>
      <c r="I13" s="15">
        <f>IF(OR(B13="",D13=""),"",D13*VLOOKUP(B13,Lookup!$A$2:$B$5,2,FALSE))</f>
        <v/>
      </c>
      <c r="J13" s="15">
        <f>IF(OR(I13="",E13=""),"",I13*E13)</f>
        <v/>
      </c>
    </row>
    <row r="14">
      <c r="A14" s="16" t="n"/>
      <c r="B14" s="16" t="n"/>
      <c r="C14" s="16" t="n"/>
      <c r="D14" s="17" t="n"/>
      <c r="E14" s="12">
        <f>IF(C14="","",VLOOKUP(C14,Lookup!$D$2:$E$6,2,FALSE))</f>
        <v/>
      </c>
      <c r="F14" s="18" t="n"/>
      <c r="G14" s="14">
        <f>IF(F14="","",TODAY()-F14)</f>
        <v/>
      </c>
      <c r="H14" s="18" t="n"/>
      <c r="I14" s="15">
        <f>IF(OR(B14="",D14=""),"",D14*VLOOKUP(B14,Lookup!$A$2:$B$5,2,FALSE))</f>
        <v/>
      </c>
      <c r="J14" s="15">
        <f>IF(OR(I14="",E14=""),"",I14*E14)</f>
        <v/>
      </c>
      <c r="K14" s="16" t="n"/>
    </row>
    <row r="15">
      <c r="D15" s="6" t="n"/>
      <c r="E15" s="12">
        <f>IF(C15="","",VLOOKUP(C15,Lookup!$D$2:$E$6,2,FALSE))</f>
        <v/>
      </c>
      <c r="F15" s="13" t="n"/>
      <c r="G15" s="14">
        <f>IF(F15="","",TODAY()-F15)</f>
        <v/>
      </c>
      <c r="H15" s="13" t="n"/>
      <c r="I15" s="15">
        <f>IF(OR(B15="",D15=""),"",D15*VLOOKUP(B15,Lookup!$A$2:$B$5,2,FALSE))</f>
        <v/>
      </c>
      <c r="J15" s="15">
        <f>IF(OR(I15="",E15=""),"",I15*E15)</f>
        <v/>
      </c>
    </row>
    <row r="16">
      <c r="A16" s="16" t="n"/>
      <c r="B16" s="16" t="n"/>
      <c r="C16" s="16" t="n"/>
      <c r="D16" s="17" t="n"/>
      <c r="E16" s="12">
        <f>IF(C16="","",VLOOKUP(C16,Lookup!$D$2:$E$6,2,FALSE))</f>
        <v/>
      </c>
      <c r="F16" s="18" t="n"/>
      <c r="G16" s="14">
        <f>IF(F16="","",TODAY()-F16)</f>
        <v/>
      </c>
      <c r="H16" s="18" t="n"/>
      <c r="I16" s="15">
        <f>IF(OR(B16="",D16=""),"",D16*VLOOKUP(B16,Lookup!$A$2:$B$5,2,FALSE))</f>
        <v/>
      </c>
      <c r="J16" s="15">
        <f>IF(OR(I16="",E16=""),"",I16*E16)</f>
        <v/>
      </c>
      <c r="K16" s="16" t="n"/>
    </row>
    <row r="17">
      <c r="D17" s="6" t="n"/>
      <c r="E17" s="12">
        <f>IF(C17="","",VLOOKUP(C17,Lookup!$D$2:$E$6,2,FALSE))</f>
        <v/>
      </c>
      <c r="F17" s="13" t="n"/>
      <c r="G17" s="14">
        <f>IF(F17="","",TODAY()-F17)</f>
        <v/>
      </c>
      <c r="H17" s="13" t="n"/>
      <c r="I17" s="15">
        <f>IF(OR(B17="",D17=""),"",D17*VLOOKUP(B17,Lookup!$A$2:$B$5,2,FALSE))</f>
        <v/>
      </c>
      <c r="J17" s="15">
        <f>IF(OR(I17="",E17=""),"",I17*E17)</f>
        <v/>
      </c>
    </row>
    <row r="18">
      <c r="A18" s="16" t="n"/>
      <c r="B18" s="16" t="n"/>
      <c r="C18" s="16" t="n"/>
      <c r="D18" s="17" t="n"/>
      <c r="E18" s="12">
        <f>IF(C18="","",VLOOKUP(C18,Lookup!$D$2:$E$6,2,FALSE))</f>
        <v/>
      </c>
      <c r="F18" s="18" t="n"/>
      <c r="G18" s="14">
        <f>IF(F18="","",TODAY()-F18)</f>
        <v/>
      </c>
      <c r="H18" s="18" t="n"/>
      <c r="I18" s="15">
        <f>IF(OR(B18="",D18=""),"",D18*VLOOKUP(B18,Lookup!$A$2:$B$5,2,FALSE))</f>
        <v/>
      </c>
      <c r="J18" s="15">
        <f>IF(OR(I18="",E18=""),"",I18*E18)</f>
        <v/>
      </c>
      <c r="K18" s="16" t="n"/>
    </row>
    <row r="19">
      <c r="D19" s="6" t="n"/>
      <c r="E19" s="12">
        <f>IF(C19="","",VLOOKUP(C19,Lookup!$D$2:$E$6,2,FALSE))</f>
        <v/>
      </c>
      <c r="F19" s="13" t="n"/>
      <c r="G19" s="14">
        <f>IF(F19="","",TODAY()-F19)</f>
        <v/>
      </c>
      <c r="H19" s="13" t="n"/>
      <c r="I19" s="15">
        <f>IF(OR(B19="",D19=""),"",D19*VLOOKUP(B19,Lookup!$A$2:$B$5,2,FALSE))</f>
        <v/>
      </c>
      <c r="J19" s="15">
        <f>IF(OR(I19="",E19=""),"",I19*E19)</f>
        <v/>
      </c>
    </row>
    <row r="20">
      <c r="A20" s="16" t="n"/>
      <c r="B20" s="16" t="n"/>
      <c r="C20" s="16" t="n"/>
      <c r="D20" s="17" t="n"/>
      <c r="E20" s="12">
        <f>IF(C20="","",VLOOKUP(C20,Lookup!$D$2:$E$6,2,FALSE))</f>
        <v/>
      </c>
      <c r="F20" s="18" t="n"/>
      <c r="G20" s="14">
        <f>IF(F20="","",TODAY()-F20)</f>
        <v/>
      </c>
      <c r="H20" s="18" t="n"/>
      <c r="I20" s="15">
        <f>IF(OR(B20="",D20=""),"",D20*VLOOKUP(B20,Lookup!$A$2:$B$5,2,FALSE))</f>
        <v/>
      </c>
      <c r="J20" s="15">
        <f>IF(OR(I20="",E20=""),"",I20*E20)</f>
        <v/>
      </c>
      <c r="K20" s="16" t="n"/>
    </row>
    <row r="21">
      <c r="D21" s="6" t="n"/>
      <c r="E21" s="12">
        <f>IF(C21="","",VLOOKUP(C21,Lookup!$D$2:$E$6,2,FALSE))</f>
        <v/>
      </c>
      <c r="F21" s="13" t="n"/>
      <c r="G21" s="14">
        <f>IF(F21="","",TODAY()-F21)</f>
        <v/>
      </c>
      <c r="H21" s="13" t="n"/>
      <c r="I21" s="15">
        <f>IF(OR(B21="",D21=""),"",D21*VLOOKUP(B21,Lookup!$A$2:$B$5,2,FALSE))</f>
        <v/>
      </c>
      <c r="J21" s="15">
        <f>IF(OR(I21="",E21=""),"",I21*E21)</f>
        <v/>
      </c>
    </row>
    <row r="22">
      <c r="A22" s="16" t="n"/>
      <c r="B22" s="16" t="n"/>
      <c r="C22" s="16" t="n"/>
      <c r="D22" s="17" t="n"/>
      <c r="E22" s="12">
        <f>IF(C22="","",VLOOKUP(C22,Lookup!$D$2:$E$6,2,FALSE))</f>
        <v/>
      </c>
      <c r="F22" s="18" t="n"/>
      <c r="G22" s="14">
        <f>IF(F22="","",TODAY()-F22)</f>
        <v/>
      </c>
      <c r="H22" s="18" t="n"/>
      <c r="I22" s="15">
        <f>IF(OR(B22="",D22=""),"",D22*VLOOKUP(B22,Lookup!$A$2:$B$5,2,FALSE))</f>
        <v/>
      </c>
      <c r="J22" s="15">
        <f>IF(OR(I22="",E22=""),"",I22*E22)</f>
        <v/>
      </c>
      <c r="K22" s="16" t="n"/>
    </row>
    <row r="23">
      <c r="D23" s="6" t="n"/>
      <c r="E23" s="12">
        <f>IF(C23="","",VLOOKUP(C23,Lookup!$D$2:$E$6,2,FALSE))</f>
        <v/>
      </c>
      <c r="F23" s="13" t="n"/>
      <c r="G23" s="14">
        <f>IF(F23="","",TODAY()-F23)</f>
        <v/>
      </c>
      <c r="H23" s="13" t="n"/>
      <c r="I23" s="15">
        <f>IF(OR(B23="",D23=""),"",D23*VLOOKUP(B23,Lookup!$A$2:$B$5,2,FALSE))</f>
        <v/>
      </c>
      <c r="J23" s="15">
        <f>IF(OR(I23="",E23=""),"",I23*E23)</f>
        <v/>
      </c>
    </row>
    <row r="24">
      <c r="A24" s="16" t="n"/>
      <c r="B24" s="16" t="n"/>
      <c r="C24" s="16" t="n"/>
      <c r="D24" s="17" t="n"/>
      <c r="E24" s="12">
        <f>IF(C24="","",VLOOKUP(C24,Lookup!$D$2:$E$6,2,FALSE))</f>
        <v/>
      </c>
      <c r="F24" s="18" t="n"/>
      <c r="G24" s="14">
        <f>IF(F24="","",TODAY()-F24)</f>
        <v/>
      </c>
      <c r="H24" s="18" t="n"/>
      <c r="I24" s="15">
        <f>IF(OR(B24="",D24=""),"",D24*VLOOKUP(B24,Lookup!$A$2:$B$5,2,FALSE))</f>
        <v/>
      </c>
      <c r="J24" s="15">
        <f>IF(OR(I24="",E24=""),"",I24*E24)</f>
        <v/>
      </c>
      <c r="K24" s="16" t="n"/>
    </row>
    <row r="25">
      <c r="D25" s="6" t="n"/>
      <c r="E25" s="12">
        <f>IF(C25="","",VLOOKUP(C25,Lookup!$D$2:$E$6,2,FALSE))</f>
        <v/>
      </c>
      <c r="F25" s="13" t="n"/>
      <c r="G25" s="14">
        <f>IF(F25="","",TODAY()-F25)</f>
        <v/>
      </c>
      <c r="H25" s="13" t="n"/>
      <c r="I25" s="15">
        <f>IF(OR(B25="",D25=""),"",D25*VLOOKUP(B25,Lookup!$A$2:$B$5,2,FALSE))</f>
        <v/>
      </c>
      <c r="J25" s="15">
        <f>IF(OR(I25="",E25=""),"",I25*E25)</f>
        <v/>
      </c>
    </row>
    <row r="26">
      <c r="A26" s="16" t="n"/>
      <c r="B26" s="16" t="n"/>
      <c r="C26" s="16" t="n"/>
      <c r="D26" s="17" t="n"/>
      <c r="E26" s="12">
        <f>IF(C26="","",VLOOKUP(C26,Lookup!$D$2:$E$6,2,FALSE))</f>
        <v/>
      </c>
      <c r="F26" s="18" t="n"/>
      <c r="G26" s="14">
        <f>IF(F26="","",TODAY()-F26)</f>
        <v/>
      </c>
      <c r="H26" s="18" t="n"/>
      <c r="I26" s="15">
        <f>IF(OR(B26="",D26=""),"",D26*VLOOKUP(B26,Lookup!$A$2:$B$5,2,FALSE))</f>
        <v/>
      </c>
      <c r="J26" s="15">
        <f>IF(OR(I26="",E26=""),"",I26*E26)</f>
        <v/>
      </c>
      <c r="K26" s="16" t="n"/>
    </row>
    <row r="27">
      <c r="D27" s="6" t="n"/>
      <c r="E27" s="12">
        <f>IF(C27="","",VLOOKUP(C27,Lookup!$D$2:$E$6,2,FALSE))</f>
        <v/>
      </c>
      <c r="F27" s="13" t="n"/>
      <c r="G27" s="14">
        <f>IF(F27="","",TODAY()-F27)</f>
        <v/>
      </c>
      <c r="H27" s="13" t="n"/>
      <c r="I27" s="15">
        <f>IF(OR(B27="",D27=""),"",D27*VLOOKUP(B27,Lookup!$A$2:$B$5,2,FALSE))</f>
        <v/>
      </c>
      <c r="J27" s="15">
        <f>IF(OR(I27="",E27=""),"",I27*E27)</f>
        <v/>
      </c>
    </row>
    <row r="28">
      <c r="A28" s="16" t="n"/>
      <c r="B28" s="16" t="n"/>
      <c r="C28" s="16" t="n"/>
      <c r="D28" s="17" t="n"/>
      <c r="E28" s="12">
        <f>IF(C28="","",VLOOKUP(C28,Lookup!$D$2:$E$6,2,FALSE))</f>
        <v/>
      </c>
      <c r="F28" s="18" t="n"/>
      <c r="G28" s="14">
        <f>IF(F28="","",TODAY()-F28)</f>
        <v/>
      </c>
      <c r="H28" s="18" t="n"/>
      <c r="I28" s="15">
        <f>IF(OR(B28="",D28=""),"",D28*VLOOKUP(B28,Lookup!$A$2:$B$5,2,FALSE))</f>
        <v/>
      </c>
      <c r="J28" s="15">
        <f>IF(OR(I28="",E28=""),"",I28*E28)</f>
        <v/>
      </c>
      <c r="K28" s="16" t="n"/>
    </row>
    <row r="29">
      <c r="D29" s="6" t="n"/>
      <c r="E29" s="12">
        <f>IF(C29="","",VLOOKUP(C29,Lookup!$D$2:$E$6,2,FALSE))</f>
        <v/>
      </c>
      <c r="F29" s="13" t="n"/>
      <c r="G29" s="14">
        <f>IF(F29="","",TODAY()-F29)</f>
        <v/>
      </c>
      <c r="H29" s="13" t="n"/>
      <c r="I29" s="15">
        <f>IF(OR(B29="",D29=""),"",D29*VLOOKUP(B29,Lookup!$A$2:$B$5,2,FALSE))</f>
        <v/>
      </c>
      <c r="J29" s="15">
        <f>IF(OR(I29="",E29=""),"",I29*E29)</f>
        <v/>
      </c>
    </row>
    <row r="30">
      <c r="A30" s="16" t="n"/>
      <c r="B30" s="16" t="n"/>
      <c r="C30" s="16" t="n"/>
      <c r="D30" s="17" t="n"/>
      <c r="E30" s="12">
        <f>IF(C30="","",VLOOKUP(C30,Lookup!$D$2:$E$6,2,FALSE))</f>
        <v/>
      </c>
      <c r="F30" s="18" t="n"/>
      <c r="G30" s="14">
        <f>IF(F30="","",TODAY()-F30)</f>
        <v/>
      </c>
      <c r="H30" s="18" t="n"/>
      <c r="I30" s="15">
        <f>IF(OR(B30="",D30=""),"",D30*VLOOKUP(B30,Lookup!$A$2:$B$5,2,FALSE))</f>
        <v/>
      </c>
      <c r="J30" s="15">
        <f>IF(OR(I30="",E30=""),"",I30*E30)</f>
        <v/>
      </c>
      <c r="K30" s="16" t="n"/>
    </row>
    <row r="31">
      <c r="D31" s="6" t="n"/>
      <c r="E31" s="12">
        <f>IF(C31="","",VLOOKUP(C31,Lookup!$D$2:$E$6,2,FALSE))</f>
        <v/>
      </c>
      <c r="F31" s="13" t="n"/>
      <c r="G31" s="14">
        <f>IF(F31="","",TODAY()-F31)</f>
        <v/>
      </c>
      <c r="H31" s="13" t="n"/>
      <c r="I31" s="15">
        <f>IF(OR(B31="",D31=""),"",D31*VLOOKUP(B31,Lookup!$A$2:$B$5,2,FALSE))</f>
        <v/>
      </c>
      <c r="J31" s="15">
        <f>IF(OR(I31="",E31=""),"",I31*E31)</f>
        <v/>
      </c>
    </row>
    <row r="32">
      <c r="A32" s="16" t="n"/>
      <c r="B32" s="16" t="n"/>
      <c r="C32" s="16" t="n"/>
      <c r="D32" s="17" t="n"/>
      <c r="E32" s="12">
        <f>IF(C32="","",VLOOKUP(C32,Lookup!$D$2:$E$6,2,FALSE))</f>
        <v/>
      </c>
      <c r="F32" s="18" t="n"/>
      <c r="G32" s="14">
        <f>IF(F32="","",TODAY()-F32)</f>
        <v/>
      </c>
      <c r="H32" s="18" t="n"/>
      <c r="I32" s="15">
        <f>IF(OR(B32="",D32=""),"",D32*VLOOKUP(B32,Lookup!$A$2:$B$5,2,FALSE))</f>
        <v/>
      </c>
      <c r="J32" s="15">
        <f>IF(OR(I32="",E32=""),"",I32*E32)</f>
        <v/>
      </c>
      <c r="K32" s="16" t="n"/>
    </row>
  </sheetData>
  <mergeCells count="1">
    <mergeCell ref="A1:K1"/>
  </mergeCells>
  <conditionalFormatting sqref="G3:G32">
    <cfRule type="cellIs" priority="1" operator="greaterThan" dxfId="0">
      <formula>90</formula>
    </cfRule>
    <cfRule type="cellIs" priority="2" operator="between" dxfId="1">
      <formula>61</formula>
      <formula>90</formula>
    </cfRule>
  </conditionalFormatting>
  <dataValidations count="6">
    <dataValidation sqref="B3:B32" showDropDown="0" showInputMessage="0" showErrorMessage="1" allowBlank="1" errorTitle="Invalid product" error="Pick one of: Comm Loan, Deposits, Treasury Mgmt, Other Fees" type="list">
      <formula1>=Lookup!$A$2:$A$5</formula1>
    </dataValidation>
    <dataValidation sqref="C3:C32" showDropDown="0" showInputMessage="0" showErrorMessage="1" allowBlank="1" errorTitle="Invalid stage" error="Pick one of: Lead, Qualified, Proposal, Commit, Closed" type="list">
      <formula1>=Lookup!$D$2:$D$6</formula1>
    </dataValidation>
    <dataValidation sqref="D3:D32" showDropDown="0" showInputMessage="0" showErrorMessage="0" allowBlank="1" type="decimal" operator="greaterThanOrEqual">
      <formula1>0</formula1>
    </dataValidation>
    <dataValidation sqref="E3:E32" showDropDown="0" showInputMessage="0" showErrorMessage="0" allowBlank="1" errorTitle="Invalid probability" error="Enter a decimal between 0 and 1 (e.g. 0.25 for 25%)" type="decimal" operator="between">
      <formula1>0</formula1>
      <formula2>1</formula2>
    </dataValidation>
    <dataValidation sqref="F3:F32" showDropDown="0" showInputMessage="0" showErrorMessage="0" allowBlank="1" errorTitle="Invalid date — Date Entered Stage" error="Enter a date (mm/dd/yyyy)" type="date"/>
    <dataValidation sqref="H3:H32" showDropDown="0" showInputMessage="0" showErrorMessage="0" allowBlank="1" errorTitle="Invalid date — Expected Close" error="Enter a date (mm/dd/yyyy)" type="date"/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2" customWidth="1" min="5" max="5"/>
    <col width="18" customWidth="1" min="6" max="6"/>
    <col width="12" customWidth="1" min="7" max="7"/>
    <col width="14" customWidth="1" min="8" max="8"/>
    <col width="16" customWidth="1" min="9" max="9"/>
    <col width="16" customWidth="1" min="10" max="10"/>
    <col width="40" customWidth="1" min="11" max="11"/>
  </cols>
  <sheetData>
    <row r="1" ht="22" customHeight="1">
      <c r="A1" s="1" t="inlineStr">
        <is>
          <t>S. Garcia · Dallas · Pipeline</t>
        </is>
      </c>
    </row>
    <row r="2" ht="22" customHeight="1">
      <c r="A2" s="11" t="inlineStr">
        <is>
          <t>Customer</t>
        </is>
      </c>
      <c r="B2" s="11" t="inlineStr">
        <is>
          <t>Product</t>
        </is>
      </c>
      <c r="C2" s="11" t="inlineStr">
        <is>
          <t>Stage</t>
        </is>
      </c>
      <c r="D2" s="11" t="inlineStr">
        <is>
          <t>Amount ($)</t>
        </is>
      </c>
      <c r="E2" s="11" t="inlineStr">
        <is>
          <t>Probability</t>
        </is>
      </c>
      <c r="F2" s="11" t="inlineStr">
        <is>
          <t>Date Entered Stage</t>
        </is>
      </c>
      <c r="G2" s="11" t="inlineStr">
        <is>
          <t>Days in Stage</t>
        </is>
      </c>
      <c r="H2" s="11" t="inlineStr">
        <is>
          <t>Expected Close</t>
        </is>
      </c>
      <c r="I2" s="11" t="inlineStr">
        <is>
          <t>Annual Rev ($)</t>
        </is>
      </c>
      <c r="J2" s="11" t="inlineStr">
        <is>
          <t>Weighted Rev ($)</t>
        </is>
      </c>
      <c r="K2" s="11" t="inlineStr">
        <is>
          <t>Notes</t>
        </is>
      </c>
    </row>
    <row r="3">
      <c r="A3" t="inlineStr">
        <is>
          <t>Union Distributors</t>
        </is>
      </c>
      <c r="B3" t="inlineStr">
        <is>
          <t>Other Fees</t>
        </is>
      </c>
      <c r="C3" t="inlineStr">
        <is>
          <t>Qualified</t>
        </is>
      </c>
      <c r="D3" s="6" t="n">
        <v>49498.92</v>
      </c>
      <c r="E3" s="12" t="n">
        <v>0.2127</v>
      </c>
      <c r="F3" s="13" t="n">
        <v>46081</v>
      </c>
      <c r="G3" s="14">
        <f>IF(F3="","",TODAY()-F3)</f>
        <v/>
      </c>
      <c r="H3" s="13" t="n">
        <v>46337</v>
      </c>
      <c r="I3" s="15">
        <f>IF(OR(B3="",D3=""),"",D3*VLOOKUP(B3,Lookup!$A$2:$B$5,2,FALSE))</f>
        <v/>
      </c>
      <c r="J3" s="15">
        <f>IF(OR(I3="",E3=""),"",I3*E3)</f>
        <v/>
      </c>
    </row>
    <row r="4">
      <c r="A4" s="16" t="inlineStr">
        <is>
          <t>Vanguard Plastics</t>
        </is>
      </c>
      <c r="B4" s="16" t="inlineStr">
        <is>
          <t>Treasury Mgmt</t>
        </is>
      </c>
      <c r="C4" s="16" t="inlineStr">
        <is>
          <t>Lead</t>
        </is>
      </c>
      <c r="D4" s="17" t="n">
        <v>117786.33</v>
      </c>
      <c r="E4" s="12" t="n">
        <v>0.1338</v>
      </c>
      <c r="F4" s="18" t="n">
        <v>46143</v>
      </c>
      <c r="G4" s="14">
        <f>IF(F4="","",TODAY()-F4)</f>
        <v/>
      </c>
      <c r="H4" s="18" t="n">
        <v>46376</v>
      </c>
      <c r="I4" s="15">
        <f>IF(OR(B4="",D4=""),"",D4*VLOOKUP(B4,Lookup!$A$2:$B$5,2,FALSE))</f>
        <v/>
      </c>
      <c r="J4" s="15">
        <f>IF(OR(I4="",E4=""),"",I4*E4)</f>
        <v/>
      </c>
      <c r="K4" s="16" t="n"/>
    </row>
    <row r="5">
      <c r="A5" t="inlineStr">
        <is>
          <t>Westfield Retail</t>
        </is>
      </c>
      <c r="B5" t="inlineStr">
        <is>
          <t>Comm Loan</t>
        </is>
      </c>
      <c r="C5" t="inlineStr">
        <is>
          <t>Closed</t>
        </is>
      </c>
      <c r="D5" s="6" t="n">
        <v>3693911.73</v>
      </c>
      <c r="E5" s="12" t="n">
        <v>1</v>
      </c>
      <c r="F5" s="13" t="n">
        <v>46098</v>
      </c>
      <c r="G5" s="14">
        <f>IF(F5="","",TODAY()-F5)</f>
        <v/>
      </c>
      <c r="H5" s="13" t="n">
        <v>46213</v>
      </c>
      <c r="I5" s="15">
        <f>IF(OR(B5="",D5=""),"",D5*VLOOKUP(B5,Lookup!$A$2:$B$5,2,FALSE))</f>
        <v/>
      </c>
      <c r="J5" s="15">
        <f>IF(OR(I5="",E5=""),"",I5*E5)</f>
        <v/>
      </c>
    </row>
    <row r="6">
      <c r="A6" s="16" t="inlineStr">
        <is>
          <t>Xander Aviation</t>
        </is>
      </c>
      <c r="B6" s="16" t="inlineStr">
        <is>
          <t>Other Fees</t>
        </is>
      </c>
      <c r="C6" s="16" t="inlineStr">
        <is>
          <t>Lead</t>
        </is>
      </c>
      <c r="D6" s="17" t="n">
        <v>40457.68</v>
      </c>
      <c r="E6" s="12" t="n">
        <v>0.1036</v>
      </c>
      <c r="F6" s="18" t="n">
        <v>46135</v>
      </c>
      <c r="G6" s="14">
        <f>IF(F6="","",TODAY()-F6)</f>
        <v/>
      </c>
      <c r="H6" s="18" t="n">
        <v>46383</v>
      </c>
      <c r="I6" s="15">
        <f>IF(OR(B6="",D6=""),"",D6*VLOOKUP(B6,Lookup!$A$2:$B$5,2,FALSE))</f>
        <v/>
      </c>
      <c r="J6" s="15">
        <f>IF(OR(I6="",E6=""),"",I6*E6)</f>
        <v/>
      </c>
      <c r="K6" s="16" t="n"/>
    </row>
    <row r="7">
      <c r="A7" t="inlineStr">
        <is>
          <t>Yellowstone Ranch</t>
        </is>
      </c>
      <c r="B7" t="inlineStr">
        <is>
          <t>Comm Loan</t>
        </is>
      </c>
      <c r="C7" t="inlineStr">
        <is>
          <t>Qualified</t>
        </is>
      </c>
      <c r="D7" s="6" t="n">
        <v>2322589.74</v>
      </c>
      <c r="E7" s="12" t="n">
        <v>0.2114</v>
      </c>
      <c r="F7" s="13" t="n">
        <v>46078</v>
      </c>
      <c r="G7" s="14">
        <f>IF(F7="","",TODAY()-F7)</f>
        <v/>
      </c>
      <c r="H7" s="13" t="n">
        <v>46343</v>
      </c>
      <c r="I7" s="15">
        <f>IF(OR(B7="",D7=""),"",D7*VLOOKUP(B7,Lookup!$A$2:$B$5,2,FALSE))</f>
        <v/>
      </c>
      <c r="J7" s="15">
        <f>IF(OR(I7="",E7=""),"",I7*E7)</f>
        <v/>
      </c>
    </row>
    <row r="8">
      <c r="A8" s="16" t="inlineStr">
        <is>
          <t>Zenith Software</t>
        </is>
      </c>
      <c r="B8" s="16" t="inlineStr">
        <is>
          <t>Deposits</t>
        </is>
      </c>
      <c r="C8" s="16" t="inlineStr">
        <is>
          <t>Proposal</t>
        </is>
      </c>
      <c r="D8" s="17" t="n">
        <v>5664478.31</v>
      </c>
      <c r="E8" s="12" t="n">
        <v>0.5112</v>
      </c>
      <c r="F8" s="18" t="n">
        <v>46151</v>
      </c>
      <c r="G8" s="14">
        <f>IF(F8="","",TODAY()-F8)</f>
        <v/>
      </c>
      <c r="H8" s="18" t="n">
        <v>46299</v>
      </c>
      <c r="I8" s="15">
        <f>IF(OR(B8="",D8=""),"",D8*VLOOKUP(B8,Lookup!$A$2:$B$5,2,FALSE))</f>
        <v/>
      </c>
      <c r="J8" s="15">
        <f>IF(OR(I8="",E8=""),"",I8*E8)</f>
        <v/>
      </c>
      <c r="K8" s="16" t="n"/>
    </row>
    <row r="9">
      <c r="A9" t="inlineStr">
        <is>
          <t>Alamo Equipment</t>
        </is>
      </c>
      <c r="B9" t="inlineStr">
        <is>
          <t>Treasury Mgmt</t>
        </is>
      </c>
      <c r="C9" t="inlineStr">
        <is>
          <t>Commit</t>
        </is>
      </c>
      <c r="D9" s="6" t="n">
        <v>250208.93</v>
      </c>
      <c r="E9" s="12" t="n">
        <v>0.8488</v>
      </c>
      <c r="F9" s="13" t="n">
        <v>46131</v>
      </c>
      <c r="G9" s="14">
        <f>IF(F9="","",TODAY()-F9)</f>
        <v/>
      </c>
      <c r="H9" s="13" t="n">
        <v>46269</v>
      </c>
      <c r="I9" s="15">
        <f>IF(OR(B9="",D9=""),"",D9*VLOOKUP(B9,Lookup!$A$2:$B$5,2,FALSE))</f>
        <v/>
      </c>
      <c r="J9" s="15">
        <f>IF(OR(I9="",E9=""),"",I9*E9)</f>
        <v/>
      </c>
    </row>
    <row r="10">
      <c r="A10" s="16" t="n"/>
      <c r="B10" s="16" t="n"/>
      <c r="C10" s="16" t="n"/>
      <c r="D10" s="17" t="n"/>
      <c r="E10" s="12">
        <f>IF(C10="","",VLOOKUP(C10,Lookup!$D$2:$E$6,2,FALSE))</f>
        <v/>
      </c>
      <c r="F10" s="18" t="n"/>
      <c r="G10" s="14">
        <f>IF(F10="","",TODAY()-F10)</f>
        <v/>
      </c>
      <c r="H10" s="18" t="n"/>
      <c r="I10" s="15">
        <f>IF(OR(B10="",D10=""),"",D10*VLOOKUP(B10,Lookup!$A$2:$B$5,2,FALSE))</f>
        <v/>
      </c>
      <c r="J10" s="15">
        <f>IF(OR(I10="",E10=""),"",I10*E10)</f>
        <v/>
      </c>
      <c r="K10" s="16" t="n"/>
    </row>
    <row r="11">
      <c r="D11" s="6" t="n"/>
      <c r="E11" s="12">
        <f>IF(C11="","",VLOOKUP(C11,Lookup!$D$2:$E$6,2,FALSE))</f>
        <v/>
      </c>
      <c r="F11" s="13" t="n"/>
      <c r="G11" s="14">
        <f>IF(F11="","",TODAY()-F11)</f>
        <v/>
      </c>
      <c r="H11" s="13" t="n"/>
      <c r="I11" s="15">
        <f>IF(OR(B11="",D11=""),"",D11*VLOOKUP(B11,Lookup!$A$2:$B$5,2,FALSE))</f>
        <v/>
      </c>
      <c r="J11" s="15">
        <f>IF(OR(I11="",E11=""),"",I11*E11)</f>
        <v/>
      </c>
    </row>
    <row r="12">
      <c r="A12" s="16" t="n"/>
      <c r="B12" s="16" t="n"/>
      <c r="C12" s="16" t="n"/>
      <c r="D12" s="17" t="n"/>
      <c r="E12" s="12">
        <f>IF(C12="","",VLOOKUP(C12,Lookup!$D$2:$E$6,2,FALSE))</f>
        <v/>
      </c>
      <c r="F12" s="18" t="n"/>
      <c r="G12" s="14">
        <f>IF(F12="","",TODAY()-F12)</f>
        <v/>
      </c>
      <c r="H12" s="18" t="n"/>
      <c r="I12" s="15">
        <f>IF(OR(B12="",D12=""),"",D12*VLOOKUP(B12,Lookup!$A$2:$B$5,2,FALSE))</f>
        <v/>
      </c>
      <c r="J12" s="15">
        <f>IF(OR(I12="",E12=""),"",I12*E12)</f>
        <v/>
      </c>
      <c r="K12" s="16" t="n"/>
    </row>
    <row r="13">
      <c r="D13" s="6" t="n"/>
      <c r="E13" s="12">
        <f>IF(C13="","",VLOOKUP(C13,Lookup!$D$2:$E$6,2,FALSE))</f>
        <v/>
      </c>
      <c r="F13" s="13" t="n"/>
      <c r="G13" s="14">
        <f>IF(F13="","",TODAY()-F13)</f>
        <v/>
      </c>
      <c r="H13" s="13" t="n"/>
      <c r="I13" s="15">
        <f>IF(OR(B13="",D13=""),"",D13*VLOOKUP(B13,Lookup!$A$2:$B$5,2,FALSE))</f>
        <v/>
      </c>
      <c r="J13" s="15">
        <f>IF(OR(I13="",E13=""),"",I13*E13)</f>
        <v/>
      </c>
    </row>
    <row r="14">
      <c r="A14" s="16" t="n"/>
      <c r="B14" s="16" t="n"/>
      <c r="C14" s="16" t="n"/>
      <c r="D14" s="17" t="n"/>
      <c r="E14" s="12">
        <f>IF(C14="","",VLOOKUP(C14,Lookup!$D$2:$E$6,2,FALSE))</f>
        <v/>
      </c>
      <c r="F14" s="18" t="n"/>
      <c r="G14" s="14">
        <f>IF(F14="","",TODAY()-F14)</f>
        <v/>
      </c>
      <c r="H14" s="18" t="n"/>
      <c r="I14" s="15">
        <f>IF(OR(B14="",D14=""),"",D14*VLOOKUP(B14,Lookup!$A$2:$B$5,2,FALSE))</f>
        <v/>
      </c>
      <c r="J14" s="15">
        <f>IF(OR(I14="",E14=""),"",I14*E14)</f>
        <v/>
      </c>
      <c r="K14" s="16" t="n"/>
    </row>
    <row r="15">
      <c r="D15" s="6" t="n"/>
      <c r="E15" s="12">
        <f>IF(C15="","",VLOOKUP(C15,Lookup!$D$2:$E$6,2,FALSE))</f>
        <v/>
      </c>
      <c r="F15" s="13" t="n"/>
      <c r="G15" s="14">
        <f>IF(F15="","",TODAY()-F15)</f>
        <v/>
      </c>
      <c r="H15" s="13" t="n"/>
      <c r="I15" s="15">
        <f>IF(OR(B15="",D15=""),"",D15*VLOOKUP(B15,Lookup!$A$2:$B$5,2,FALSE))</f>
        <v/>
      </c>
      <c r="J15" s="15">
        <f>IF(OR(I15="",E15=""),"",I15*E15)</f>
        <v/>
      </c>
    </row>
    <row r="16">
      <c r="A16" s="16" t="n"/>
      <c r="B16" s="16" t="n"/>
      <c r="C16" s="16" t="n"/>
      <c r="D16" s="17" t="n"/>
      <c r="E16" s="12">
        <f>IF(C16="","",VLOOKUP(C16,Lookup!$D$2:$E$6,2,FALSE))</f>
        <v/>
      </c>
      <c r="F16" s="18" t="n"/>
      <c r="G16" s="14">
        <f>IF(F16="","",TODAY()-F16)</f>
        <v/>
      </c>
      <c r="H16" s="18" t="n"/>
      <c r="I16" s="15">
        <f>IF(OR(B16="",D16=""),"",D16*VLOOKUP(B16,Lookup!$A$2:$B$5,2,FALSE))</f>
        <v/>
      </c>
      <c r="J16" s="15">
        <f>IF(OR(I16="",E16=""),"",I16*E16)</f>
        <v/>
      </c>
      <c r="K16" s="16" t="n"/>
    </row>
    <row r="17">
      <c r="D17" s="6" t="n"/>
      <c r="E17" s="12">
        <f>IF(C17="","",VLOOKUP(C17,Lookup!$D$2:$E$6,2,FALSE))</f>
        <v/>
      </c>
      <c r="F17" s="13" t="n"/>
      <c r="G17" s="14">
        <f>IF(F17="","",TODAY()-F17)</f>
        <v/>
      </c>
      <c r="H17" s="13" t="n"/>
      <c r="I17" s="15">
        <f>IF(OR(B17="",D17=""),"",D17*VLOOKUP(B17,Lookup!$A$2:$B$5,2,FALSE))</f>
        <v/>
      </c>
      <c r="J17" s="15">
        <f>IF(OR(I17="",E17=""),"",I17*E17)</f>
        <v/>
      </c>
    </row>
    <row r="18">
      <c r="A18" s="16" t="n"/>
      <c r="B18" s="16" t="n"/>
      <c r="C18" s="16" t="n"/>
      <c r="D18" s="17" t="n"/>
      <c r="E18" s="12">
        <f>IF(C18="","",VLOOKUP(C18,Lookup!$D$2:$E$6,2,FALSE))</f>
        <v/>
      </c>
      <c r="F18" s="18" t="n"/>
      <c r="G18" s="14">
        <f>IF(F18="","",TODAY()-F18)</f>
        <v/>
      </c>
      <c r="H18" s="18" t="n"/>
      <c r="I18" s="15">
        <f>IF(OR(B18="",D18=""),"",D18*VLOOKUP(B18,Lookup!$A$2:$B$5,2,FALSE))</f>
        <v/>
      </c>
      <c r="J18" s="15">
        <f>IF(OR(I18="",E18=""),"",I18*E18)</f>
        <v/>
      </c>
      <c r="K18" s="16" t="n"/>
    </row>
    <row r="19">
      <c r="D19" s="6" t="n"/>
      <c r="E19" s="12">
        <f>IF(C19="","",VLOOKUP(C19,Lookup!$D$2:$E$6,2,FALSE))</f>
        <v/>
      </c>
      <c r="F19" s="13" t="n"/>
      <c r="G19" s="14">
        <f>IF(F19="","",TODAY()-F19)</f>
        <v/>
      </c>
      <c r="H19" s="13" t="n"/>
      <c r="I19" s="15">
        <f>IF(OR(B19="",D19=""),"",D19*VLOOKUP(B19,Lookup!$A$2:$B$5,2,FALSE))</f>
        <v/>
      </c>
      <c r="J19" s="15">
        <f>IF(OR(I19="",E19=""),"",I19*E19)</f>
        <v/>
      </c>
    </row>
    <row r="20">
      <c r="A20" s="16" t="n"/>
      <c r="B20" s="16" t="n"/>
      <c r="C20" s="16" t="n"/>
      <c r="D20" s="17" t="n"/>
      <c r="E20" s="12">
        <f>IF(C20="","",VLOOKUP(C20,Lookup!$D$2:$E$6,2,FALSE))</f>
        <v/>
      </c>
      <c r="F20" s="18" t="n"/>
      <c r="G20" s="14">
        <f>IF(F20="","",TODAY()-F20)</f>
        <v/>
      </c>
      <c r="H20" s="18" t="n"/>
      <c r="I20" s="15">
        <f>IF(OR(B20="",D20=""),"",D20*VLOOKUP(B20,Lookup!$A$2:$B$5,2,FALSE))</f>
        <v/>
      </c>
      <c r="J20" s="15">
        <f>IF(OR(I20="",E20=""),"",I20*E20)</f>
        <v/>
      </c>
      <c r="K20" s="16" t="n"/>
    </row>
    <row r="21">
      <c r="D21" s="6" t="n"/>
      <c r="E21" s="12">
        <f>IF(C21="","",VLOOKUP(C21,Lookup!$D$2:$E$6,2,FALSE))</f>
        <v/>
      </c>
      <c r="F21" s="13" t="n"/>
      <c r="G21" s="14">
        <f>IF(F21="","",TODAY()-F21)</f>
        <v/>
      </c>
      <c r="H21" s="13" t="n"/>
      <c r="I21" s="15">
        <f>IF(OR(B21="",D21=""),"",D21*VLOOKUP(B21,Lookup!$A$2:$B$5,2,FALSE))</f>
        <v/>
      </c>
      <c r="J21" s="15">
        <f>IF(OR(I21="",E21=""),"",I21*E21)</f>
        <v/>
      </c>
    </row>
    <row r="22">
      <c r="A22" s="16" t="n"/>
      <c r="B22" s="16" t="n"/>
      <c r="C22" s="16" t="n"/>
      <c r="D22" s="17" t="n"/>
      <c r="E22" s="12">
        <f>IF(C22="","",VLOOKUP(C22,Lookup!$D$2:$E$6,2,FALSE))</f>
        <v/>
      </c>
      <c r="F22" s="18" t="n"/>
      <c r="G22" s="14">
        <f>IF(F22="","",TODAY()-F22)</f>
        <v/>
      </c>
      <c r="H22" s="18" t="n"/>
      <c r="I22" s="15">
        <f>IF(OR(B22="",D22=""),"",D22*VLOOKUP(B22,Lookup!$A$2:$B$5,2,FALSE))</f>
        <v/>
      </c>
      <c r="J22" s="15">
        <f>IF(OR(I22="",E22=""),"",I22*E22)</f>
        <v/>
      </c>
      <c r="K22" s="16" t="n"/>
    </row>
    <row r="23">
      <c r="D23" s="6" t="n"/>
      <c r="E23" s="12">
        <f>IF(C23="","",VLOOKUP(C23,Lookup!$D$2:$E$6,2,FALSE))</f>
        <v/>
      </c>
      <c r="F23" s="13" t="n"/>
      <c r="G23" s="14">
        <f>IF(F23="","",TODAY()-F23)</f>
        <v/>
      </c>
      <c r="H23" s="13" t="n"/>
      <c r="I23" s="15">
        <f>IF(OR(B23="",D23=""),"",D23*VLOOKUP(B23,Lookup!$A$2:$B$5,2,FALSE))</f>
        <v/>
      </c>
      <c r="J23" s="15">
        <f>IF(OR(I23="",E23=""),"",I23*E23)</f>
        <v/>
      </c>
    </row>
    <row r="24">
      <c r="A24" s="16" t="n"/>
      <c r="B24" s="16" t="n"/>
      <c r="C24" s="16" t="n"/>
      <c r="D24" s="17" t="n"/>
      <c r="E24" s="12">
        <f>IF(C24="","",VLOOKUP(C24,Lookup!$D$2:$E$6,2,FALSE))</f>
        <v/>
      </c>
      <c r="F24" s="18" t="n"/>
      <c r="G24" s="14">
        <f>IF(F24="","",TODAY()-F24)</f>
        <v/>
      </c>
      <c r="H24" s="18" t="n"/>
      <c r="I24" s="15">
        <f>IF(OR(B24="",D24=""),"",D24*VLOOKUP(B24,Lookup!$A$2:$B$5,2,FALSE))</f>
        <v/>
      </c>
      <c r="J24" s="15">
        <f>IF(OR(I24="",E24=""),"",I24*E24)</f>
        <v/>
      </c>
      <c r="K24" s="16" t="n"/>
    </row>
    <row r="25">
      <c r="D25" s="6" t="n"/>
      <c r="E25" s="12">
        <f>IF(C25="","",VLOOKUP(C25,Lookup!$D$2:$E$6,2,FALSE))</f>
        <v/>
      </c>
      <c r="F25" s="13" t="n"/>
      <c r="G25" s="14">
        <f>IF(F25="","",TODAY()-F25)</f>
        <v/>
      </c>
      <c r="H25" s="13" t="n"/>
      <c r="I25" s="15">
        <f>IF(OR(B25="",D25=""),"",D25*VLOOKUP(B25,Lookup!$A$2:$B$5,2,FALSE))</f>
        <v/>
      </c>
      <c r="J25" s="15">
        <f>IF(OR(I25="",E25=""),"",I25*E25)</f>
        <v/>
      </c>
    </row>
    <row r="26">
      <c r="A26" s="16" t="n"/>
      <c r="B26" s="16" t="n"/>
      <c r="C26" s="16" t="n"/>
      <c r="D26" s="17" t="n"/>
      <c r="E26" s="12">
        <f>IF(C26="","",VLOOKUP(C26,Lookup!$D$2:$E$6,2,FALSE))</f>
        <v/>
      </c>
      <c r="F26" s="18" t="n"/>
      <c r="G26" s="14">
        <f>IF(F26="","",TODAY()-F26)</f>
        <v/>
      </c>
      <c r="H26" s="18" t="n"/>
      <c r="I26" s="15">
        <f>IF(OR(B26="",D26=""),"",D26*VLOOKUP(B26,Lookup!$A$2:$B$5,2,FALSE))</f>
        <v/>
      </c>
      <c r="J26" s="15">
        <f>IF(OR(I26="",E26=""),"",I26*E26)</f>
        <v/>
      </c>
      <c r="K26" s="16" t="n"/>
    </row>
    <row r="27">
      <c r="D27" s="6" t="n"/>
      <c r="E27" s="12">
        <f>IF(C27="","",VLOOKUP(C27,Lookup!$D$2:$E$6,2,FALSE))</f>
        <v/>
      </c>
      <c r="F27" s="13" t="n"/>
      <c r="G27" s="14">
        <f>IF(F27="","",TODAY()-F27)</f>
        <v/>
      </c>
      <c r="H27" s="13" t="n"/>
      <c r="I27" s="15">
        <f>IF(OR(B27="",D27=""),"",D27*VLOOKUP(B27,Lookup!$A$2:$B$5,2,FALSE))</f>
        <v/>
      </c>
      <c r="J27" s="15">
        <f>IF(OR(I27="",E27=""),"",I27*E27)</f>
        <v/>
      </c>
    </row>
    <row r="28">
      <c r="A28" s="16" t="n"/>
      <c r="B28" s="16" t="n"/>
      <c r="C28" s="16" t="n"/>
      <c r="D28" s="17" t="n"/>
      <c r="E28" s="12">
        <f>IF(C28="","",VLOOKUP(C28,Lookup!$D$2:$E$6,2,FALSE))</f>
        <v/>
      </c>
      <c r="F28" s="18" t="n"/>
      <c r="G28" s="14">
        <f>IF(F28="","",TODAY()-F28)</f>
        <v/>
      </c>
      <c r="H28" s="18" t="n"/>
      <c r="I28" s="15">
        <f>IF(OR(B28="",D28=""),"",D28*VLOOKUP(B28,Lookup!$A$2:$B$5,2,FALSE))</f>
        <v/>
      </c>
      <c r="J28" s="15">
        <f>IF(OR(I28="",E28=""),"",I28*E28)</f>
        <v/>
      </c>
      <c r="K28" s="16" t="n"/>
    </row>
    <row r="29">
      <c r="D29" s="6" t="n"/>
      <c r="E29" s="12">
        <f>IF(C29="","",VLOOKUP(C29,Lookup!$D$2:$E$6,2,FALSE))</f>
        <v/>
      </c>
      <c r="F29" s="13" t="n"/>
      <c r="G29" s="14">
        <f>IF(F29="","",TODAY()-F29)</f>
        <v/>
      </c>
      <c r="H29" s="13" t="n"/>
      <c r="I29" s="15">
        <f>IF(OR(B29="",D29=""),"",D29*VLOOKUP(B29,Lookup!$A$2:$B$5,2,FALSE))</f>
        <v/>
      </c>
      <c r="J29" s="15">
        <f>IF(OR(I29="",E29=""),"",I29*E29)</f>
        <v/>
      </c>
    </row>
    <row r="30">
      <c r="A30" s="16" t="n"/>
      <c r="B30" s="16" t="n"/>
      <c r="C30" s="16" t="n"/>
      <c r="D30" s="17" t="n"/>
      <c r="E30" s="12">
        <f>IF(C30="","",VLOOKUP(C30,Lookup!$D$2:$E$6,2,FALSE))</f>
        <v/>
      </c>
      <c r="F30" s="18" t="n"/>
      <c r="G30" s="14">
        <f>IF(F30="","",TODAY()-F30)</f>
        <v/>
      </c>
      <c r="H30" s="18" t="n"/>
      <c r="I30" s="15">
        <f>IF(OR(B30="",D30=""),"",D30*VLOOKUP(B30,Lookup!$A$2:$B$5,2,FALSE))</f>
        <v/>
      </c>
      <c r="J30" s="15">
        <f>IF(OR(I30="",E30=""),"",I30*E30)</f>
        <v/>
      </c>
      <c r="K30" s="16" t="n"/>
    </row>
    <row r="31">
      <c r="D31" s="6" t="n"/>
      <c r="E31" s="12">
        <f>IF(C31="","",VLOOKUP(C31,Lookup!$D$2:$E$6,2,FALSE))</f>
        <v/>
      </c>
      <c r="F31" s="13" t="n"/>
      <c r="G31" s="14">
        <f>IF(F31="","",TODAY()-F31)</f>
        <v/>
      </c>
      <c r="H31" s="13" t="n"/>
      <c r="I31" s="15">
        <f>IF(OR(B31="",D31=""),"",D31*VLOOKUP(B31,Lookup!$A$2:$B$5,2,FALSE))</f>
        <v/>
      </c>
      <c r="J31" s="15">
        <f>IF(OR(I31="",E31=""),"",I31*E31)</f>
        <v/>
      </c>
    </row>
    <row r="32">
      <c r="A32" s="16" t="n"/>
      <c r="B32" s="16" t="n"/>
      <c r="C32" s="16" t="n"/>
      <c r="D32" s="17" t="n"/>
      <c r="E32" s="12">
        <f>IF(C32="","",VLOOKUP(C32,Lookup!$D$2:$E$6,2,FALSE))</f>
        <v/>
      </c>
      <c r="F32" s="18" t="n"/>
      <c r="G32" s="14">
        <f>IF(F32="","",TODAY()-F32)</f>
        <v/>
      </c>
      <c r="H32" s="18" t="n"/>
      <c r="I32" s="15">
        <f>IF(OR(B32="",D32=""),"",D32*VLOOKUP(B32,Lookup!$A$2:$B$5,2,FALSE))</f>
        <v/>
      </c>
      <c r="J32" s="15">
        <f>IF(OR(I32="",E32=""),"",I32*E32)</f>
        <v/>
      </c>
      <c r="K32" s="16" t="n"/>
    </row>
  </sheetData>
  <mergeCells count="1">
    <mergeCell ref="A1:K1"/>
  </mergeCells>
  <conditionalFormatting sqref="G3:G32">
    <cfRule type="cellIs" priority="1" operator="greaterThan" dxfId="0">
      <formula>90</formula>
    </cfRule>
    <cfRule type="cellIs" priority="2" operator="between" dxfId="1">
      <formula>61</formula>
      <formula>90</formula>
    </cfRule>
  </conditionalFormatting>
  <dataValidations count="6">
    <dataValidation sqref="B3:B32" showDropDown="0" showInputMessage="0" showErrorMessage="1" allowBlank="1" errorTitle="Invalid product" error="Pick one of: Comm Loan, Deposits, Treasury Mgmt, Other Fees" type="list">
      <formula1>=Lookup!$A$2:$A$5</formula1>
    </dataValidation>
    <dataValidation sqref="C3:C32" showDropDown="0" showInputMessage="0" showErrorMessage="1" allowBlank="1" errorTitle="Invalid stage" error="Pick one of: Lead, Qualified, Proposal, Commit, Closed" type="list">
      <formula1>=Lookup!$D$2:$D$6</formula1>
    </dataValidation>
    <dataValidation sqref="D3:D32" showDropDown="0" showInputMessage="0" showErrorMessage="0" allowBlank="1" type="decimal" operator="greaterThanOrEqual">
      <formula1>0</formula1>
    </dataValidation>
    <dataValidation sqref="E3:E32" showDropDown="0" showInputMessage="0" showErrorMessage="0" allowBlank="1" errorTitle="Invalid probability" error="Enter a decimal between 0 and 1 (e.g. 0.25 for 25%)" type="decimal" operator="between">
      <formula1>0</formula1>
      <formula2>1</formula2>
    </dataValidation>
    <dataValidation sqref="F3:F32" showDropDown="0" showInputMessage="0" showErrorMessage="0" allowBlank="1" errorTitle="Invalid date — Date Entered Stage" error="Enter a date (mm/dd/yyyy)" type="date"/>
    <dataValidation sqref="H3:H32" showDropDown="0" showInputMessage="0" showErrorMessage="0" allowBlank="1" errorTitle="Invalid date — Expected Close" error="Enter a date (mm/dd/yyyy)" type="date"/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2" customWidth="1" min="5" max="5"/>
    <col width="18" customWidth="1" min="6" max="6"/>
    <col width="12" customWidth="1" min="7" max="7"/>
    <col width="14" customWidth="1" min="8" max="8"/>
    <col width="16" customWidth="1" min="9" max="9"/>
    <col width="16" customWidth="1" min="10" max="10"/>
    <col width="40" customWidth="1" min="11" max="11"/>
  </cols>
  <sheetData>
    <row r="1" ht="22" customHeight="1">
      <c r="A1" s="1" t="inlineStr">
        <is>
          <t>B. Foster · Dallas · Pipeline</t>
        </is>
      </c>
    </row>
    <row r="2" ht="22" customHeight="1">
      <c r="A2" s="11" t="inlineStr">
        <is>
          <t>Customer</t>
        </is>
      </c>
      <c r="B2" s="11" t="inlineStr">
        <is>
          <t>Product</t>
        </is>
      </c>
      <c r="C2" s="11" t="inlineStr">
        <is>
          <t>Stage</t>
        </is>
      </c>
      <c r="D2" s="11" t="inlineStr">
        <is>
          <t>Amount ($)</t>
        </is>
      </c>
      <c r="E2" s="11" t="inlineStr">
        <is>
          <t>Probability</t>
        </is>
      </c>
      <c r="F2" s="11" t="inlineStr">
        <is>
          <t>Date Entered Stage</t>
        </is>
      </c>
      <c r="G2" s="11" t="inlineStr">
        <is>
          <t>Days in Stage</t>
        </is>
      </c>
      <c r="H2" s="11" t="inlineStr">
        <is>
          <t>Expected Close</t>
        </is>
      </c>
      <c r="I2" s="11" t="inlineStr">
        <is>
          <t>Annual Rev ($)</t>
        </is>
      </c>
      <c r="J2" s="11" t="inlineStr">
        <is>
          <t>Weighted Rev ($)</t>
        </is>
      </c>
      <c r="K2" s="11" t="inlineStr">
        <is>
          <t>Notes</t>
        </is>
      </c>
    </row>
    <row r="3">
      <c r="A3" t="inlineStr">
        <is>
          <t>Evergreen Realty</t>
        </is>
      </c>
      <c r="B3" t="inlineStr">
        <is>
          <t>Deposits</t>
        </is>
      </c>
      <c r="C3" t="inlineStr">
        <is>
          <t>Qualified</t>
        </is>
      </c>
      <c r="D3" s="6" t="n">
        <v>4276478.29</v>
      </c>
      <c r="E3" s="12" t="n">
        <v>0.2008</v>
      </c>
      <c r="F3" s="13" t="n">
        <v>46129</v>
      </c>
      <c r="G3" s="14">
        <f>IF(F3="","",TODAY()-F3)</f>
        <v/>
      </c>
      <c r="H3" s="13" t="n">
        <v>46339</v>
      </c>
      <c r="I3" s="15">
        <f>IF(OR(B3="",D3=""),"",D3*VLOOKUP(B3,Lookup!$A$2:$B$5,2,FALSE))</f>
        <v/>
      </c>
      <c r="J3" s="15">
        <f>IF(OR(I3="",E3=""),"",I3*E3)</f>
        <v/>
      </c>
    </row>
    <row r="4">
      <c r="A4" s="16" t="inlineStr">
        <is>
          <t>Fairfield Energy</t>
        </is>
      </c>
      <c r="B4" s="16" t="inlineStr">
        <is>
          <t>Other Fees</t>
        </is>
      </c>
      <c r="C4" s="16" t="inlineStr">
        <is>
          <t>Commit</t>
        </is>
      </c>
      <c r="D4" s="17" t="n">
        <v>71443.88</v>
      </c>
      <c r="E4" s="12" t="n">
        <v>0.8062</v>
      </c>
      <c r="F4" s="18" t="n">
        <v>46156</v>
      </c>
      <c r="G4" s="14">
        <f>IF(F4="","",TODAY()-F4)</f>
        <v/>
      </c>
      <c r="H4" s="18" t="n">
        <v>46285</v>
      </c>
      <c r="I4" s="15">
        <f>IF(OR(B4="",D4=""),"",D4*VLOOKUP(B4,Lookup!$A$2:$B$5,2,FALSE))</f>
        <v/>
      </c>
      <c r="J4" s="15">
        <f>IF(OR(I4="",E4=""),"",I4*E4)</f>
        <v/>
      </c>
      <c r="K4" s="16" t="n"/>
    </row>
    <row r="5">
      <c r="A5" t="inlineStr">
        <is>
          <t>Galleon Logistics</t>
        </is>
      </c>
      <c r="B5" t="inlineStr">
        <is>
          <t>Comm Loan</t>
        </is>
      </c>
      <c r="C5" t="inlineStr">
        <is>
          <t>Proposal</t>
        </is>
      </c>
      <c r="D5" s="6" t="n">
        <v>3318345.97</v>
      </c>
      <c r="E5" s="12" t="n">
        <v>0.5425</v>
      </c>
      <c r="F5" s="13" t="n">
        <v>46158</v>
      </c>
      <c r="G5" s="14">
        <f>IF(F5="","",TODAY()-F5)</f>
        <v/>
      </c>
      <c r="H5" s="13" t="n">
        <v>46302</v>
      </c>
      <c r="I5" s="15">
        <f>IF(OR(B5="",D5=""),"",D5*VLOOKUP(B5,Lookup!$A$2:$B$5,2,FALSE))</f>
        <v/>
      </c>
      <c r="J5" s="15">
        <f>IF(OR(I5="",E5=""),"",I5*E5)</f>
        <v/>
      </c>
    </row>
    <row r="6">
      <c r="A6" s="16" t="inlineStr">
        <is>
          <t>Harbor Partners</t>
        </is>
      </c>
      <c r="B6" s="16" t="inlineStr">
        <is>
          <t>Deposits</t>
        </is>
      </c>
      <c r="C6" s="16" t="inlineStr">
        <is>
          <t>Lead</t>
        </is>
      </c>
      <c r="D6" s="17" t="n">
        <v>942755.35</v>
      </c>
      <c r="E6" s="12" t="n">
        <v>0.0574</v>
      </c>
      <c r="F6" s="18" t="n">
        <v>46118</v>
      </c>
      <c r="G6" s="14">
        <f>IF(F6="","",TODAY()-F6)</f>
        <v/>
      </c>
      <c r="H6" s="18" t="n">
        <v>46337</v>
      </c>
      <c r="I6" s="15">
        <f>IF(OR(B6="",D6=""),"",D6*VLOOKUP(B6,Lookup!$A$2:$B$5,2,FALSE))</f>
        <v/>
      </c>
      <c r="J6" s="15">
        <f>IF(OR(I6="",E6=""),"",I6*E6)</f>
        <v/>
      </c>
      <c r="K6" s="16" t="n"/>
    </row>
    <row r="7">
      <c r="A7" t="inlineStr">
        <is>
          <t>Ironwood Capital</t>
        </is>
      </c>
      <c r="B7" t="inlineStr">
        <is>
          <t>Deposits</t>
        </is>
      </c>
      <c r="C7" t="inlineStr">
        <is>
          <t>Qualified</t>
        </is>
      </c>
      <c r="D7" s="6" t="n">
        <v>907319.76</v>
      </c>
      <c r="E7" s="12" t="n">
        <v>0.2669</v>
      </c>
      <c r="F7" s="13" t="n">
        <v>46169</v>
      </c>
      <c r="G7" s="14">
        <f>IF(F7="","",TODAY()-F7)</f>
        <v/>
      </c>
      <c r="H7" s="13" t="n">
        <v>46314</v>
      </c>
      <c r="I7" s="15">
        <f>IF(OR(B7="",D7=""),"",D7*VLOOKUP(B7,Lookup!$A$2:$B$5,2,FALSE))</f>
        <v/>
      </c>
      <c r="J7" s="15">
        <f>IF(OR(I7="",E7=""),"",I7*E7)</f>
        <v/>
      </c>
    </row>
    <row r="8">
      <c r="A8" s="16" t="inlineStr">
        <is>
          <t>Juniper Foods</t>
        </is>
      </c>
      <c r="B8" s="16" t="inlineStr">
        <is>
          <t>Comm Loan</t>
        </is>
      </c>
      <c r="C8" s="16" t="inlineStr">
        <is>
          <t>Qualified</t>
        </is>
      </c>
      <c r="D8" s="17" t="n">
        <v>14970368.89</v>
      </c>
      <c r="E8" s="12" t="n">
        <v>0.2907</v>
      </c>
      <c r="F8" s="18" t="n">
        <v>46168</v>
      </c>
      <c r="G8" s="14">
        <f>IF(F8="","",TODAY()-F8)</f>
        <v/>
      </c>
      <c r="H8" s="18" t="n">
        <v>46312</v>
      </c>
      <c r="I8" s="15">
        <f>IF(OR(B8="",D8=""),"",D8*VLOOKUP(B8,Lookup!$A$2:$B$5,2,FALSE))</f>
        <v/>
      </c>
      <c r="J8" s="15">
        <f>IF(OR(I8="",E8=""),"",I8*E8)</f>
        <v/>
      </c>
      <c r="K8" s="16" t="n"/>
    </row>
    <row r="9">
      <c r="A9" t="inlineStr">
        <is>
          <t>Keystone Steel</t>
        </is>
      </c>
      <c r="B9" t="inlineStr">
        <is>
          <t>Deposits</t>
        </is>
      </c>
      <c r="C9" t="inlineStr">
        <is>
          <t>Proposal</t>
        </is>
      </c>
      <c r="D9" s="6" t="n">
        <v>7146028.97</v>
      </c>
      <c r="E9" s="12" t="n">
        <v>0.4834</v>
      </c>
      <c r="F9" s="13" t="n">
        <v>46135</v>
      </c>
      <c r="G9" s="14">
        <f>IF(F9="","",TODAY()-F9)</f>
        <v/>
      </c>
      <c r="H9" s="13" t="n">
        <v>46304</v>
      </c>
      <c r="I9" s="15">
        <f>IF(OR(B9="",D9=""),"",D9*VLOOKUP(B9,Lookup!$A$2:$B$5,2,FALSE))</f>
        <v/>
      </c>
      <c r="J9" s="15">
        <f>IF(OR(I9="",E9=""),"",I9*E9)</f>
        <v/>
      </c>
    </row>
    <row r="10">
      <c r="A10" s="16" t="inlineStr">
        <is>
          <t>Lakeside Medical</t>
        </is>
      </c>
      <c r="B10" s="16" t="inlineStr">
        <is>
          <t>Treasury Mgmt</t>
        </is>
      </c>
      <c r="C10" s="16" t="inlineStr">
        <is>
          <t>Closed</t>
        </is>
      </c>
      <c r="D10" s="17" t="n">
        <v>36610.28</v>
      </c>
      <c r="E10" s="12" t="n">
        <v>0.9827</v>
      </c>
      <c r="F10" s="18" t="n">
        <v>46189</v>
      </c>
      <c r="G10" s="14">
        <f>IF(F10="","",TODAY()-F10)</f>
        <v/>
      </c>
      <c r="H10" s="18" t="n">
        <v>46240</v>
      </c>
      <c r="I10" s="15">
        <f>IF(OR(B10="",D10=""),"",D10*VLOOKUP(B10,Lookup!$A$2:$B$5,2,FALSE))</f>
        <v/>
      </c>
      <c r="J10" s="15">
        <f>IF(OR(I10="",E10=""),"",I10*E10)</f>
        <v/>
      </c>
      <c r="K10" s="16" t="n"/>
    </row>
    <row r="11">
      <c r="A11" t="inlineStr">
        <is>
          <t>Mason &amp; Co.</t>
        </is>
      </c>
      <c r="B11" t="inlineStr">
        <is>
          <t>Comm Loan</t>
        </is>
      </c>
      <c r="C11" t="inlineStr">
        <is>
          <t>Proposal</t>
        </is>
      </c>
      <c r="D11" s="6" t="n">
        <v>3839311.46</v>
      </c>
      <c r="E11" s="12" t="n">
        <v>0.4668</v>
      </c>
      <c r="F11" s="13" t="n">
        <v>46181</v>
      </c>
      <c r="G11" s="14">
        <f>IF(F11="","",TODAY()-F11)</f>
        <v/>
      </c>
      <c r="H11" s="13" t="n">
        <v>46279</v>
      </c>
      <c r="I11" s="15">
        <f>IF(OR(B11="",D11=""),"",D11*VLOOKUP(B11,Lookup!$A$2:$B$5,2,FALSE))</f>
        <v/>
      </c>
      <c r="J11" s="15">
        <f>IF(OR(I11="",E11=""),"",I11*E11)</f>
        <v/>
      </c>
    </row>
    <row r="12">
      <c r="A12" s="16" t="inlineStr">
        <is>
          <t>Northstar Tech</t>
        </is>
      </c>
      <c r="B12" s="16" t="inlineStr">
        <is>
          <t>Comm Loan</t>
        </is>
      </c>
      <c r="C12" s="16" t="inlineStr">
        <is>
          <t>Proposal</t>
        </is>
      </c>
      <c r="D12" s="17" t="n">
        <v>18165595.86</v>
      </c>
      <c r="E12" s="12" t="n">
        <v>0.5009</v>
      </c>
      <c r="F12" s="18" t="n">
        <v>46163</v>
      </c>
      <c r="G12" s="14">
        <f>IF(F12="","",TODAY()-F12)</f>
        <v/>
      </c>
      <c r="H12" s="18" t="n">
        <v>46301</v>
      </c>
      <c r="I12" s="15">
        <f>IF(OR(B12="",D12=""),"",D12*VLOOKUP(B12,Lookup!$A$2:$B$5,2,FALSE))</f>
        <v/>
      </c>
      <c r="J12" s="15">
        <f>IF(OR(I12="",E12=""),"",I12*E12)</f>
        <v/>
      </c>
      <c r="K12" s="16" t="n"/>
    </row>
    <row r="13">
      <c r="A13" t="inlineStr">
        <is>
          <t>Xander Aviation</t>
        </is>
      </c>
      <c r="B13" t="inlineStr">
        <is>
          <t>Treasury Mgmt</t>
        </is>
      </c>
      <c r="C13" t="inlineStr">
        <is>
          <t>Lead</t>
        </is>
      </c>
      <c r="D13" s="6" t="n">
        <v>101352.17</v>
      </c>
      <c r="E13" s="12" t="n">
        <v>0.0709</v>
      </c>
      <c r="F13" s="13" t="n">
        <v>46153</v>
      </c>
      <c r="G13" s="14">
        <f>IF(F13="","",TODAY()-F13)</f>
        <v/>
      </c>
      <c r="H13" s="13" t="n">
        <v>46354</v>
      </c>
      <c r="I13" s="15">
        <f>IF(OR(B13="",D13=""),"",D13*VLOOKUP(B13,Lookup!$A$2:$B$5,2,FALSE))</f>
        <v/>
      </c>
      <c r="J13" s="15">
        <f>IF(OR(I13="",E13=""),"",I13*E13)</f>
        <v/>
      </c>
    </row>
    <row r="14">
      <c r="A14" s="16" t="inlineStr">
        <is>
          <t>Yellowstone Ranch</t>
        </is>
      </c>
      <c r="B14" s="16" t="inlineStr">
        <is>
          <t>Other Fees</t>
        </is>
      </c>
      <c r="C14" s="16" t="inlineStr">
        <is>
          <t>Lead</t>
        </is>
      </c>
      <c r="D14" s="17" t="n">
        <v>4379.97</v>
      </c>
      <c r="E14" s="12" t="n">
        <v>0.08019999999999999</v>
      </c>
      <c r="F14" s="18" t="n">
        <v>46120</v>
      </c>
      <c r="G14" s="14">
        <f>IF(F14="","",TODAY()-F14)</f>
        <v/>
      </c>
      <c r="H14" s="18" t="n">
        <v>46354</v>
      </c>
      <c r="I14" s="15">
        <f>IF(OR(B14="",D14=""),"",D14*VLOOKUP(B14,Lookup!$A$2:$B$5,2,FALSE))</f>
        <v/>
      </c>
      <c r="J14" s="15">
        <f>IF(OR(I14="",E14=""),"",I14*E14)</f>
        <v/>
      </c>
      <c r="K14" s="16" t="n"/>
    </row>
    <row r="15">
      <c r="A15" t="inlineStr">
        <is>
          <t>Zenith Software</t>
        </is>
      </c>
      <c r="B15" t="inlineStr">
        <is>
          <t>Comm Loan</t>
        </is>
      </c>
      <c r="C15" t="inlineStr">
        <is>
          <t>Commit</t>
        </is>
      </c>
      <c r="D15" s="6" t="n">
        <v>9360282.949999999</v>
      </c>
      <c r="E15" s="12" t="n">
        <v>0.751</v>
      </c>
      <c r="F15" s="13" t="n">
        <v>46160</v>
      </c>
      <c r="G15" s="14">
        <f>IF(F15="","",TODAY()-F15)</f>
        <v/>
      </c>
      <c r="H15" s="13" t="n">
        <v>46247</v>
      </c>
      <c r="I15" s="15">
        <f>IF(OR(B15="",D15=""),"",D15*VLOOKUP(B15,Lookup!$A$2:$B$5,2,FALSE))</f>
        <v/>
      </c>
      <c r="J15" s="15">
        <f>IF(OR(I15="",E15=""),"",I15*E15)</f>
        <v/>
      </c>
    </row>
    <row r="16">
      <c r="A16" s="16" t="inlineStr">
        <is>
          <t>Alamo Equipment</t>
        </is>
      </c>
      <c r="B16" s="16" t="inlineStr">
        <is>
          <t>Deposits</t>
        </is>
      </c>
      <c r="C16" s="16" t="inlineStr">
        <is>
          <t>Closed</t>
        </is>
      </c>
      <c r="D16" s="17" t="n">
        <v>1565237.54</v>
      </c>
      <c r="E16" s="12" t="n">
        <v>0.9879</v>
      </c>
      <c r="F16" s="18" t="n">
        <v>46148</v>
      </c>
      <c r="G16" s="14">
        <f>IF(F16="","",TODAY()-F16)</f>
        <v/>
      </c>
      <c r="H16" s="18" t="n">
        <v>46224</v>
      </c>
      <c r="I16" s="15">
        <f>IF(OR(B16="",D16=""),"",D16*VLOOKUP(B16,Lookup!$A$2:$B$5,2,FALSE))</f>
        <v/>
      </c>
      <c r="J16" s="15">
        <f>IF(OR(I16="",E16=""),"",I16*E16)</f>
        <v/>
      </c>
      <c r="K16" s="16" t="n"/>
    </row>
    <row r="17">
      <c r="D17" s="6" t="n"/>
      <c r="E17" s="12">
        <f>IF(C17="","",VLOOKUP(C17,Lookup!$D$2:$E$6,2,FALSE))</f>
        <v/>
      </c>
      <c r="F17" s="13" t="n"/>
      <c r="G17" s="14">
        <f>IF(F17="","",TODAY()-F17)</f>
        <v/>
      </c>
      <c r="H17" s="13" t="n"/>
      <c r="I17" s="15">
        <f>IF(OR(B17="",D17=""),"",D17*VLOOKUP(B17,Lookup!$A$2:$B$5,2,FALSE))</f>
        <v/>
      </c>
      <c r="J17" s="15">
        <f>IF(OR(I17="",E17=""),"",I17*E17)</f>
        <v/>
      </c>
    </row>
    <row r="18">
      <c r="A18" s="16" t="n"/>
      <c r="B18" s="16" t="n"/>
      <c r="C18" s="16" t="n"/>
      <c r="D18" s="17" t="n"/>
      <c r="E18" s="12">
        <f>IF(C18="","",VLOOKUP(C18,Lookup!$D$2:$E$6,2,FALSE))</f>
        <v/>
      </c>
      <c r="F18" s="18" t="n"/>
      <c r="G18" s="14">
        <f>IF(F18="","",TODAY()-F18)</f>
        <v/>
      </c>
      <c r="H18" s="18" t="n"/>
      <c r="I18" s="15">
        <f>IF(OR(B18="",D18=""),"",D18*VLOOKUP(B18,Lookup!$A$2:$B$5,2,FALSE))</f>
        <v/>
      </c>
      <c r="J18" s="15">
        <f>IF(OR(I18="",E18=""),"",I18*E18)</f>
        <v/>
      </c>
      <c r="K18" s="16" t="n"/>
    </row>
    <row r="19">
      <c r="D19" s="6" t="n"/>
      <c r="E19" s="12">
        <f>IF(C19="","",VLOOKUP(C19,Lookup!$D$2:$E$6,2,FALSE))</f>
        <v/>
      </c>
      <c r="F19" s="13" t="n"/>
      <c r="G19" s="14">
        <f>IF(F19="","",TODAY()-F19)</f>
        <v/>
      </c>
      <c r="H19" s="13" t="n"/>
      <c r="I19" s="15">
        <f>IF(OR(B19="",D19=""),"",D19*VLOOKUP(B19,Lookup!$A$2:$B$5,2,FALSE))</f>
        <v/>
      </c>
      <c r="J19" s="15">
        <f>IF(OR(I19="",E19=""),"",I19*E19)</f>
        <v/>
      </c>
    </row>
    <row r="20">
      <c r="A20" s="16" t="n"/>
      <c r="B20" s="16" t="n"/>
      <c r="C20" s="16" t="n"/>
      <c r="D20" s="17" t="n"/>
      <c r="E20" s="12">
        <f>IF(C20="","",VLOOKUP(C20,Lookup!$D$2:$E$6,2,FALSE))</f>
        <v/>
      </c>
      <c r="F20" s="18" t="n"/>
      <c r="G20" s="14">
        <f>IF(F20="","",TODAY()-F20)</f>
        <v/>
      </c>
      <c r="H20" s="18" t="n"/>
      <c r="I20" s="15">
        <f>IF(OR(B20="",D20=""),"",D20*VLOOKUP(B20,Lookup!$A$2:$B$5,2,FALSE))</f>
        <v/>
      </c>
      <c r="J20" s="15">
        <f>IF(OR(I20="",E20=""),"",I20*E20)</f>
        <v/>
      </c>
      <c r="K20" s="16" t="n"/>
    </row>
    <row r="21">
      <c r="D21" s="6" t="n"/>
      <c r="E21" s="12">
        <f>IF(C21="","",VLOOKUP(C21,Lookup!$D$2:$E$6,2,FALSE))</f>
        <v/>
      </c>
      <c r="F21" s="13" t="n"/>
      <c r="G21" s="14">
        <f>IF(F21="","",TODAY()-F21)</f>
        <v/>
      </c>
      <c r="H21" s="13" t="n"/>
      <c r="I21" s="15">
        <f>IF(OR(B21="",D21=""),"",D21*VLOOKUP(B21,Lookup!$A$2:$B$5,2,FALSE))</f>
        <v/>
      </c>
      <c r="J21" s="15">
        <f>IF(OR(I21="",E21=""),"",I21*E21)</f>
        <v/>
      </c>
    </row>
    <row r="22">
      <c r="A22" s="16" t="n"/>
      <c r="B22" s="16" t="n"/>
      <c r="C22" s="16" t="n"/>
      <c r="D22" s="17" t="n"/>
      <c r="E22" s="12">
        <f>IF(C22="","",VLOOKUP(C22,Lookup!$D$2:$E$6,2,FALSE))</f>
        <v/>
      </c>
      <c r="F22" s="18" t="n"/>
      <c r="G22" s="14">
        <f>IF(F22="","",TODAY()-F22)</f>
        <v/>
      </c>
      <c r="H22" s="18" t="n"/>
      <c r="I22" s="15">
        <f>IF(OR(B22="",D22=""),"",D22*VLOOKUP(B22,Lookup!$A$2:$B$5,2,FALSE))</f>
        <v/>
      </c>
      <c r="J22" s="15">
        <f>IF(OR(I22="",E22=""),"",I22*E22)</f>
        <v/>
      </c>
      <c r="K22" s="16" t="n"/>
    </row>
    <row r="23">
      <c r="D23" s="6" t="n"/>
      <c r="E23" s="12">
        <f>IF(C23="","",VLOOKUP(C23,Lookup!$D$2:$E$6,2,FALSE))</f>
        <v/>
      </c>
      <c r="F23" s="13" t="n"/>
      <c r="G23" s="14">
        <f>IF(F23="","",TODAY()-F23)</f>
        <v/>
      </c>
      <c r="H23" s="13" t="n"/>
      <c r="I23" s="15">
        <f>IF(OR(B23="",D23=""),"",D23*VLOOKUP(B23,Lookup!$A$2:$B$5,2,FALSE))</f>
        <v/>
      </c>
      <c r="J23" s="15">
        <f>IF(OR(I23="",E23=""),"",I23*E23)</f>
        <v/>
      </c>
    </row>
    <row r="24">
      <c r="A24" s="16" t="n"/>
      <c r="B24" s="16" t="n"/>
      <c r="C24" s="16" t="n"/>
      <c r="D24" s="17" t="n"/>
      <c r="E24" s="12">
        <f>IF(C24="","",VLOOKUP(C24,Lookup!$D$2:$E$6,2,FALSE))</f>
        <v/>
      </c>
      <c r="F24" s="18" t="n"/>
      <c r="G24" s="14">
        <f>IF(F24="","",TODAY()-F24)</f>
        <v/>
      </c>
      <c r="H24" s="18" t="n"/>
      <c r="I24" s="15">
        <f>IF(OR(B24="",D24=""),"",D24*VLOOKUP(B24,Lookup!$A$2:$B$5,2,FALSE))</f>
        <v/>
      </c>
      <c r="J24" s="15">
        <f>IF(OR(I24="",E24=""),"",I24*E24)</f>
        <v/>
      </c>
      <c r="K24" s="16" t="n"/>
    </row>
    <row r="25">
      <c r="D25" s="6" t="n"/>
      <c r="E25" s="12">
        <f>IF(C25="","",VLOOKUP(C25,Lookup!$D$2:$E$6,2,FALSE))</f>
        <v/>
      </c>
      <c r="F25" s="13" t="n"/>
      <c r="G25" s="14">
        <f>IF(F25="","",TODAY()-F25)</f>
        <v/>
      </c>
      <c r="H25" s="13" t="n"/>
      <c r="I25" s="15">
        <f>IF(OR(B25="",D25=""),"",D25*VLOOKUP(B25,Lookup!$A$2:$B$5,2,FALSE))</f>
        <v/>
      </c>
      <c r="J25" s="15">
        <f>IF(OR(I25="",E25=""),"",I25*E25)</f>
        <v/>
      </c>
    </row>
    <row r="26">
      <c r="A26" s="16" t="n"/>
      <c r="B26" s="16" t="n"/>
      <c r="C26" s="16" t="n"/>
      <c r="D26" s="17" t="n"/>
      <c r="E26" s="12">
        <f>IF(C26="","",VLOOKUP(C26,Lookup!$D$2:$E$6,2,FALSE))</f>
        <v/>
      </c>
      <c r="F26" s="18" t="n"/>
      <c r="G26" s="14">
        <f>IF(F26="","",TODAY()-F26)</f>
        <v/>
      </c>
      <c r="H26" s="18" t="n"/>
      <c r="I26" s="15">
        <f>IF(OR(B26="",D26=""),"",D26*VLOOKUP(B26,Lookup!$A$2:$B$5,2,FALSE))</f>
        <v/>
      </c>
      <c r="J26" s="15">
        <f>IF(OR(I26="",E26=""),"",I26*E26)</f>
        <v/>
      </c>
      <c r="K26" s="16" t="n"/>
    </row>
    <row r="27">
      <c r="D27" s="6" t="n"/>
      <c r="E27" s="12">
        <f>IF(C27="","",VLOOKUP(C27,Lookup!$D$2:$E$6,2,FALSE))</f>
        <v/>
      </c>
      <c r="F27" s="13" t="n"/>
      <c r="G27" s="14">
        <f>IF(F27="","",TODAY()-F27)</f>
        <v/>
      </c>
      <c r="H27" s="13" t="n"/>
      <c r="I27" s="15">
        <f>IF(OR(B27="",D27=""),"",D27*VLOOKUP(B27,Lookup!$A$2:$B$5,2,FALSE))</f>
        <v/>
      </c>
      <c r="J27" s="15">
        <f>IF(OR(I27="",E27=""),"",I27*E27)</f>
        <v/>
      </c>
    </row>
    <row r="28">
      <c r="A28" s="16" t="n"/>
      <c r="B28" s="16" t="n"/>
      <c r="C28" s="16" t="n"/>
      <c r="D28" s="17" t="n"/>
      <c r="E28" s="12">
        <f>IF(C28="","",VLOOKUP(C28,Lookup!$D$2:$E$6,2,FALSE))</f>
        <v/>
      </c>
      <c r="F28" s="18" t="n"/>
      <c r="G28" s="14">
        <f>IF(F28="","",TODAY()-F28)</f>
        <v/>
      </c>
      <c r="H28" s="18" t="n"/>
      <c r="I28" s="15">
        <f>IF(OR(B28="",D28=""),"",D28*VLOOKUP(B28,Lookup!$A$2:$B$5,2,FALSE))</f>
        <v/>
      </c>
      <c r="J28" s="15">
        <f>IF(OR(I28="",E28=""),"",I28*E28)</f>
        <v/>
      </c>
      <c r="K28" s="16" t="n"/>
    </row>
    <row r="29">
      <c r="D29" s="6" t="n"/>
      <c r="E29" s="12">
        <f>IF(C29="","",VLOOKUP(C29,Lookup!$D$2:$E$6,2,FALSE))</f>
        <v/>
      </c>
      <c r="F29" s="13" t="n"/>
      <c r="G29" s="14">
        <f>IF(F29="","",TODAY()-F29)</f>
        <v/>
      </c>
      <c r="H29" s="13" t="n"/>
      <c r="I29" s="15">
        <f>IF(OR(B29="",D29=""),"",D29*VLOOKUP(B29,Lookup!$A$2:$B$5,2,FALSE))</f>
        <v/>
      </c>
      <c r="J29" s="15">
        <f>IF(OR(I29="",E29=""),"",I29*E29)</f>
        <v/>
      </c>
    </row>
    <row r="30">
      <c r="A30" s="16" t="n"/>
      <c r="B30" s="16" t="n"/>
      <c r="C30" s="16" t="n"/>
      <c r="D30" s="17" t="n"/>
      <c r="E30" s="12">
        <f>IF(C30="","",VLOOKUP(C30,Lookup!$D$2:$E$6,2,FALSE))</f>
        <v/>
      </c>
      <c r="F30" s="18" t="n"/>
      <c r="G30" s="14">
        <f>IF(F30="","",TODAY()-F30)</f>
        <v/>
      </c>
      <c r="H30" s="18" t="n"/>
      <c r="I30" s="15">
        <f>IF(OR(B30="",D30=""),"",D30*VLOOKUP(B30,Lookup!$A$2:$B$5,2,FALSE))</f>
        <v/>
      </c>
      <c r="J30" s="15">
        <f>IF(OR(I30="",E30=""),"",I30*E30)</f>
        <v/>
      </c>
      <c r="K30" s="16" t="n"/>
    </row>
    <row r="31">
      <c r="D31" s="6" t="n"/>
      <c r="E31" s="12">
        <f>IF(C31="","",VLOOKUP(C31,Lookup!$D$2:$E$6,2,FALSE))</f>
        <v/>
      </c>
      <c r="F31" s="13" t="n"/>
      <c r="G31" s="14">
        <f>IF(F31="","",TODAY()-F31)</f>
        <v/>
      </c>
      <c r="H31" s="13" t="n"/>
      <c r="I31" s="15">
        <f>IF(OR(B31="",D31=""),"",D31*VLOOKUP(B31,Lookup!$A$2:$B$5,2,FALSE))</f>
        <v/>
      </c>
      <c r="J31" s="15">
        <f>IF(OR(I31="",E31=""),"",I31*E31)</f>
        <v/>
      </c>
    </row>
    <row r="32">
      <c r="A32" s="16" t="n"/>
      <c r="B32" s="16" t="n"/>
      <c r="C32" s="16" t="n"/>
      <c r="D32" s="17" t="n"/>
      <c r="E32" s="12">
        <f>IF(C32="","",VLOOKUP(C32,Lookup!$D$2:$E$6,2,FALSE))</f>
        <v/>
      </c>
      <c r="F32" s="18" t="n"/>
      <c r="G32" s="14">
        <f>IF(F32="","",TODAY()-F32)</f>
        <v/>
      </c>
      <c r="H32" s="18" t="n"/>
      <c r="I32" s="15">
        <f>IF(OR(B32="",D32=""),"",D32*VLOOKUP(B32,Lookup!$A$2:$B$5,2,FALSE))</f>
        <v/>
      </c>
      <c r="J32" s="15">
        <f>IF(OR(I32="",E32=""),"",I32*E32)</f>
        <v/>
      </c>
      <c r="K32" s="16" t="n"/>
    </row>
  </sheetData>
  <mergeCells count="1">
    <mergeCell ref="A1:K1"/>
  </mergeCells>
  <conditionalFormatting sqref="G3:G32">
    <cfRule type="cellIs" priority="1" operator="greaterThan" dxfId="0">
      <formula>90</formula>
    </cfRule>
    <cfRule type="cellIs" priority="2" operator="between" dxfId="1">
      <formula>61</formula>
      <formula>90</formula>
    </cfRule>
  </conditionalFormatting>
  <dataValidations count="6">
    <dataValidation sqref="B3:B32" showDropDown="0" showInputMessage="0" showErrorMessage="1" allowBlank="1" errorTitle="Invalid product" error="Pick one of: Comm Loan, Deposits, Treasury Mgmt, Other Fees" type="list">
      <formula1>=Lookup!$A$2:$A$5</formula1>
    </dataValidation>
    <dataValidation sqref="C3:C32" showDropDown="0" showInputMessage="0" showErrorMessage="1" allowBlank="1" errorTitle="Invalid stage" error="Pick one of: Lead, Qualified, Proposal, Commit, Closed" type="list">
      <formula1>=Lookup!$D$2:$D$6</formula1>
    </dataValidation>
    <dataValidation sqref="D3:D32" showDropDown="0" showInputMessage="0" showErrorMessage="0" allowBlank="1" type="decimal" operator="greaterThanOrEqual">
      <formula1>0</formula1>
    </dataValidation>
    <dataValidation sqref="E3:E32" showDropDown="0" showInputMessage="0" showErrorMessage="0" allowBlank="1" errorTitle="Invalid probability" error="Enter a decimal between 0 and 1 (e.g. 0.25 for 25%)" type="decimal" operator="between">
      <formula1>0</formula1>
      <formula2>1</formula2>
    </dataValidation>
    <dataValidation sqref="F3:F32" showDropDown="0" showInputMessage="0" showErrorMessage="0" allowBlank="1" errorTitle="Invalid date — Date Entered Stage" error="Enter a date (mm/dd/yyyy)" type="date"/>
    <dataValidation sqref="H3:H32" showDropDown="0" showInputMessage="0" showErrorMessage="0" allowBlank="1" errorTitle="Invalid date — Expected Close" error="Enter a date (mm/dd/yyyy)" type="date"/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4" max="4"/>
    <col width="14" customWidth="1" min="5" max="5"/>
    <col width="14" customWidth="1" min="7" max="7"/>
    <col width="14" customWidth="1" min="8" max="8"/>
  </cols>
  <sheetData>
    <row r="1">
      <c r="A1" s="19" t="inlineStr">
        <is>
          <t>Product</t>
        </is>
      </c>
      <c r="B1" s="19" t="inlineStr">
        <is>
          <t>Spread</t>
        </is>
      </c>
      <c r="D1" s="19" t="inlineStr">
        <is>
          <t>Stage</t>
        </is>
      </c>
      <c r="E1" s="19" t="inlineStr">
        <is>
          <t>Probability</t>
        </is>
      </c>
      <c r="G1" s="19" t="inlineStr">
        <is>
          <t>RMs</t>
        </is>
      </c>
      <c r="H1" s="19" t="inlineStr">
        <is>
          <t>Market</t>
        </is>
      </c>
    </row>
    <row r="2">
      <c r="A2" t="inlineStr">
        <is>
          <t>Comm Loan</t>
        </is>
      </c>
      <c r="B2" t="n">
        <v>0.034</v>
      </c>
      <c r="D2" t="inlineStr">
        <is>
          <t>Lead</t>
        </is>
      </c>
      <c r="E2" t="n">
        <v>0.1</v>
      </c>
      <c r="G2" t="inlineStr">
        <is>
          <t>M. Reyes</t>
        </is>
      </c>
      <c r="H2" t="inlineStr">
        <is>
          <t>Houston</t>
        </is>
      </c>
    </row>
    <row r="3">
      <c r="A3" t="inlineStr">
        <is>
          <t>Deposits</t>
        </is>
      </c>
      <c r="B3" t="n">
        <v>0.005</v>
      </c>
      <c r="D3" t="inlineStr">
        <is>
          <t>Qualified</t>
        </is>
      </c>
      <c r="E3" t="n">
        <v>0.25</v>
      </c>
      <c r="G3" t="inlineStr">
        <is>
          <t>D. Patel</t>
        </is>
      </c>
      <c r="H3" t="inlineStr">
        <is>
          <t>Houston</t>
        </is>
      </c>
    </row>
    <row r="4">
      <c r="A4" t="inlineStr">
        <is>
          <t>Treasury Mgmt</t>
        </is>
      </c>
      <c r="B4" t="n">
        <v>1</v>
      </c>
      <c r="D4" t="inlineStr">
        <is>
          <t>Proposal</t>
        </is>
      </c>
      <c r="E4" t="n">
        <v>0.5</v>
      </c>
      <c r="G4" t="inlineStr">
        <is>
          <t>A. Tran</t>
        </is>
      </c>
      <c r="H4" t="inlineStr">
        <is>
          <t>Houston</t>
        </is>
      </c>
    </row>
    <row r="5">
      <c r="A5" t="inlineStr">
        <is>
          <t>Other Fees</t>
        </is>
      </c>
      <c r="B5" t="n">
        <v>1</v>
      </c>
      <c r="D5" t="inlineStr">
        <is>
          <t>Commit</t>
        </is>
      </c>
      <c r="E5" t="n">
        <v>0.8</v>
      </c>
      <c r="G5" t="inlineStr">
        <is>
          <t>K. Williams</t>
        </is>
      </c>
      <c r="H5" t="inlineStr">
        <is>
          <t>Houston</t>
        </is>
      </c>
    </row>
    <row r="6">
      <c r="D6" t="inlineStr">
        <is>
          <t>Closed</t>
        </is>
      </c>
      <c r="E6" t="n">
        <v>1</v>
      </c>
      <c r="G6" t="inlineStr">
        <is>
          <t>R. Chen</t>
        </is>
      </c>
      <c r="H6" t="inlineStr">
        <is>
          <t>Dallas</t>
        </is>
      </c>
    </row>
    <row r="7">
      <c r="G7" t="inlineStr">
        <is>
          <t>S. Garcia</t>
        </is>
      </c>
      <c r="H7" t="inlineStr">
        <is>
          <t>Dallas</t>
        </is>
      </c>
    </row>
    <row r="8">
      <c r="G8" t="inlineStr">
        <is>
          <t>B. Foster</t>
        </is>
      </c>
      <c r="H8" t="inlineStr">
        <is>
          <t>Dallas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2026-05-19T06:57:44Z</dcterms:created>
  <dcterms:modified xsi:type="dcterms:W3CDTF">2026-05-19T06:57:44Z</dcterms:modified>
</cp:coreProperties>
</file>