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ve Pipeline" sheetId="2" state="visible" r:id="rId2"/>
    <sheet name="Closed YTD" sheetId="3" state="visible" r:id="rId3"/>
    <sheet name="README" sheetId="4" state="visible" r:id="rId4"/>
    <sheet name="M. Reyes" sheetId="5" state="visible" r:id="rId5"/>
    <sheet name="D. Patel" sheetId="6" state="visible" r:id="rId6"/>
    <sheet name="A. Tran" sheetId="7" state="visible" r:id="rId7"/>
    <sheet name="K. Williams" sheetId="8" state="visible" r:id="rId8"/>
    <sheet name="R. Chen" sheetId="9" state="visible" r:id="rId9"/>
    <sheet name="S. Garcia" sheetId="10" state="visible" r:id="rId10"/>
    <sheet name="B. Foster" sheetId="11" state="visible" r:id="rId11"/>
    <sheet name="Lookup" sheetId="12" state="hidden" r:id="rId1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m/d/yyyy"/>
    <numFmt numFmtId="166" formatCode="$#,##0.00"/>
    <numFmt numFmtId="167" formatCode="mm/dd/yyyy"/>
    <numFmt numFmtId="168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864AB"/>
      <sz val="16"/>
    </font>
    <font>
      <name val="Calibri"/>
      <b val="1"/>
      <sz val="11"/>
    </font>
    <font>
      <name val="Calibri"/>
      <b val="1"/>
      <color rgb="00FFFFFF"/>
      <sz val="11"/>
    </font>
    <font>
      <b val="1"/>
      <color rgb="00FFFFFF"/>
    </font>
    <font>
      <b val="1"/>
    </font>
    <font>
      <b val="1"/>
      <color rgb="00FFFFFF"/>
      <sz val="11"/>
    </font>
    <font>
      <b val="1"/>
      <color rgb="001864ab"/>
      <sz val="14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1864AB"/>
      </patternFill>
    </fill>
    <fill>
      <patternFill patternType="solid">
        <fgColor rgb="00212529"/>
      </patternFill>
    </fill>
    <fill>
      <patternFill patternType="solid">
        <fgColor rgb="00E9ECEF"/>
      </patternFill>
    </fill>
    <fill>
      <patternFill patternType="solid">
        <fgColor rgb="00E7F5FF"/>
      </patternFill>
    </fill>
    <fill>
      <patternFill patternType="solid">
        <fgColor rgb="00F1F3F5"/>
      </patternFill>
    </fill>
    <fill>
      <patternFill patternType="solid">
        <fgColor rgb="001864ab"/>
        <bgColor rgb="001864ab"/>
      </patternFill>
    </fill>
    <fill>
      <patternFill patternType="solid">
        <fgColor rgb="002b8a3e"/>
        <bgColor rgb="002b8a3e"/>
      </patternFill>
    </fill>
  </fills>
  <borders count="3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  <border>
      <bottom style="thin">
        <color rgb="00dee2e6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4" borderId="0" pivotButton="0" quotePrefix="0" xfId="0"/>
    <xf numFmtId="164" fontId="5" fillId="4" borderId="0" pivotButton="0" quotePrefix="0" xfId="0"/>
    <xf numFmtId="0" fontId="3" fillId="2" borderId="1" applyAlignment="1" pivotButton="0" quotePrefix="0" xfId="0">
      <alignment horizontal="center" vertical="center"/>
    </xf>
    <xf numFmtId="9" fontId="0" fillId="5" borderId="0" pivotButton="0" quotePrefix="0" xfId="0"/>
    <xf numFmtId="165" fontId="0" fillId="0" borderId="0" pivotButton="0" quotePrefix="0" xfId="0"/>
    <xf numFmtId="1" fontId="0" fillId="5" borderId="0" pivotButton="0" quotePrefix="0" xfId="0"/>
    <xf numFmtId="164" fontId="0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165" fontId="0" fillId="6" borderId="0" pivotButton="0" quotePrefix="0" xfId="0"/>
    <xf numFmtId="0" fontId="3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166" fontId="0" fillId="0" borderId="0" pivotButton="0" quotePrefix="0" xfId="0"/>
    <xf numFmtId="0" fontId="6" fillId="7" borderId="2" applyAlignment="1" pivotButton="0" quotePrefix="0" xfId="0">
      <alignment horizontal="left" vertical="center"/>
    </xf>
    <xf numFmtId="9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5" fontId="0" fillId="6" borderId="0" pivotButton="0" quotePrefix="0" xfId="0"/>
    <xf numFmtId="167" fontId="0" fillId="0" borderId="0" pivotButton="0" quotePrefix="0" xfId="0"/>
    <xf numFmtId="0" fontId="6" fillId="8" borderId="2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b val="1"/>
        <color rgb="009F1239"/>
      </font>
      <fill>
        <patternFill patternType="solid">
          <fgColor rgb="00FFE3E3"/>
        </patternFill>
      </fill>
    </dxf>
    <dxf>
      <font>
        <b val="1"/>
        <color rgb="0092400E"/>
      </font>
      <fill>
        <patternFill patternType="solid">
          <fgColor rgb="00FFF3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0" t="inlineStr">
        <is>
          <t>Pipeline Dashboard - Summary</t>
        </is>
      </c>
    </row>
    <row r="3">
      <c r="A3" s="21" t="inlineStr">
        <is>
          <t>Metric</t>
        </is>
      </c>
      <c r="B3" s="21" t="inlineStr">
        <is>
          <t>Value</t>
        </is>
      </c>
    </row>
    <row r="4">
      <c r="A4" t="inlineStr">
        <is>
          <t>── ACTIVE PIPELINE ──</t>
        </is>
      </c>
      <c r="B4" t="inlineStr"/>
    </row>
    <row r="5">
      <c r="A5" t="inlineStr">
        <is>
          <t>Open Deals</t>
        </is>
      </c>
      <c r="B5" t="n">
        <v>67</v>
      </c>
    </row>
    <row r="6">
      <c r="A6" t="inlineStr">
        <is>
          <t>Total Pipeline (Balance)</t>
        </is>
      </c>
      <c r="B6" s="22" t="n">
        <v>231126404.1079215</v>
      </c>
    </row>
    <row r="7">
      <c r="A7" t="inlineStr">
        <is>
          <t>Weighted Pipeline</t>
        </is>
      </c>
      <c r="B7" s="22" t="n">
        <v>81034583.59068948</v>
      </c>
    </row>
    <row r="8">
      <c r="A8" t="inlineStr">
        <is>
          <t>Total Revenue Potential</t>
        </is>
      </c>
      <c r="B8" s="22" t="n">
        <v>7960448.575250899</v>
      </c>
    </row>
    <row r="9">
      <c r="A9" t="inlineStr">
        <is>
          <t>Weighted Revenue</t>
        </is>
      </c>
      <c r="B9" s="22" t="n">
        <v>3037576.374831149</v>
      </c>
    </row>
    <row r="10">
      <c r="A10" t="inlineStr"/>
      <c r="B10" t="inlineStr"/>
    </row>
    <row r="11">
      <c r="A11" t="inlineStr">
        <is>
          <t>── CLOSED YTD ──</t>
        </is>
      </c>
      <c r="B11" t="inlineStr"/>
    </row>
    <row r="12">
      <c r="A12" t="inlineStr">
        <is>
          <t>Closed Deals</t>
        </is>
      </c>
      <c r="B12" t="n">
        <v>9</v>
      </c>
    </row>
    <row r="13">
      <c r="A13" t="inlineStr">
        <is>
          <t>Closed Revenue (YTD)</t>
        </is>
      </c>
      <c r="B13" s="22" t="n">
        <v>325470.721248428</v>
      </c>
    </row>
    <row r="14">
      <c r="A14" t="inlineStr"/>
      <c r="B14" t="inlineStr"/>
    </row>
    <row r="15">
      <c r="A15" t="inlineStr">
        <is>
          <t>── STAGE BREAKDOWN ──</t>
        </is>
      </c>
      <c r="B15" t="inlineStr"/>
    </row>
    <row r="16">
      <c r="A16" t="inlineStr">
        <is>
          <t xml:space="preserve">  Lead</t>
        </is>
      </c>
      <c r="B16" t="n">
        <v>25</v>
      </c>
    </row>
    <row r="17">
      <c r="A17" t="inlineStr">
        <is>
          <t xml:space="preserve">  Qualified</t>
        </is>
      </c>
      <c r="B17" t="n">
        <v>18</v>
      </c>
    </row>
    <row r="18">
      <c r="A18" t="inlineStr">
        <is>
          <t xml:space="preserve">  Proposal</t>
        </is>
      </c>
      <c r="B18" t="n">
        <v>15</v>
      </c>
    </row>
    <row r="19">
      <c r="A19" t="inlineStr">
        <is>
          <t xml:space="preserve">  Commit</t>
        </is>
      </c>
      <c r="B19" t="n">
        <v>9</v>
      </c>
    </row>
    <row r="20">
      <c r="A20" t="inlineStr">
        <is>
          <t xml:space="preserve">  Closed</t>
        </is>
      </c>
      <c r="B20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0" customWidth="1" min="4" max="4"/>
    <col width="20" customWidth="1" min="5" max="5"/>
    <col width="18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6" customWidth="1" min="13" max="13"/>
  </cols>
  <sheetData>
    <row r="1">
      <c r="A1" s="23" t="inlineStr">
        <is>
          <t>Deal ID</t>
        </is>
      </c>
      <c r="B1" s="23" t="inlineStr">
        <is>
          <t>Officer ID</t>
        </is>
      </c>
      <c r="C1" s="23" t="inlineStr">
        <is>
          <t>Officer Name</t>
        </is>
      </c>
      <c r="D1" s="23" t="inlineStr">
        <is>
          <t>Market</t>
        </is>
      </c>
      <c r="E1" s="23" t="inlineStr">
        <is>
          <t>Customer</t>
        </is>
      </c>
      <c r="F1" s="23" t="inlineStr">
        <is>
          <t>Product</t>
        </is>
      </c>
      <c r="G1" s="23" t="inlineStr">
        <is>
          <t>Stage</t>
        </is>
      </c>
      <c r="H1" s="23" t="inlineStr">
        <is>
          <t>Amount</t>
        </is>
      </c>
      <c r="I1" s="23" t="inlineStr">
        <is>
          <t>Probability</t>
        </is>
      </c>
      <c r="J1" s="23" t="inlineStr">
        <is>
          <t>Days in Stage</t>
        </is>
      </c>
      <c r="K1" s="23" t="inlineStr">
        <is>
          <t>Age (Days)</t>
        </is>
      </c>
      <c r="L1" s="23" t="inlineStr">
        <is>
          <t>Expected Close</t>
        </is>
      </c>
      <c r="M1" s="23" t="inlineStr">
        <is>
          <t>Annual Revenue</t>
        </is>
      </c>
    </row>
    <row r="2">
      <c r="A2" t="inlineStr">
        <is>
          <t>h-reyes-0</t>
        </is>
      </c>
      <c r="B2" t="inlineStr">
        <is>
          <t>h-reyes</t>
        </is>
      </c>
      <c r="C2" t="inlineStr">
        <is>
          <t>M. Reyes</t>
        </is>
      </c>
      <c r="D2" t="inlineStr">
        <is>
          <t>Houston</t>
        </is>
      </c>
      <c r="E2" t="inlineStr">
        <is>
          <t>Northstar Tech</t>
        </is>
      </c>
      <c r="F2" t="inlineStr">
        <is>
          <t>Deposits</t>
        </is>
      </c>
      <c r="G2" t="inlineStr">
        <is>
          <t>Qualified</t>
        </is>
      </c>
      <c r="H2" s="22" t="n">
        <v>1986780.752749635</v>
      </c>
      <c r="I2" s="24" t="n">
        <v>0.2966344724409282</v>
      </c>
      <c r="J2" t="n">
        <v>45</v>
      </c>
      <c r="K2" t="n">
        <v>84</v>
      </c>
      <c r="L2" s="28" t="n">
        <v>46331</v>
      </c>
      <c r="M2" s="22" t="n">
        <v>9933.903763748174</v>
      </c>
    </row>
    <row r="3">
      <c r="A3" t="inlineStr">
        <is>
          <t>h-reyes-2</t>
        </is>
      </c>
      <c r="B3" t="inlineStr">
        <is>
          <t>h-reyes</t>
        </is>
      </c>
      <c r="C3" t="inlineStr">
        <is>
          <t>M. Reyes</t>
        </is>
      </c>
      <c r="D3" t="inlineStr">
        <is>
          <t>Houston</t>
        </is>
      </c>
      <c r="E3" t="inlineStr">
        <is>
          <t>Pacific Imports</t>
        </is>
      </c>
      <c r="F3" t="inlineStr">
        <is>
          <t>Treasury Management</t>
        </is>
      </c>
      <c r="G3" t="inlineStr">
        <is>
          <t>Proposal</t>
        </is>
      </c>
      <c r="H3" s="22" t="n">
        <v>204686.790946871</v>
      </c>
      <c r="I3" s="24" t="n">
        <v>0.5004163671517745</v>
      </c>
      <c r="J3" t="n">
        <v>65</v>
      </c>
      <c r="K3" t="n">
        <v>155</v>
      </c>
      <c r="L3" s="28" t="n">
        <v>46280</v>
      </c>
      <c r="M3" s="22" t="n">
        <v>204686.790946871</v>
      </c>
    </row>
    <row r="4">
      <c r="A4" t="inlineStr">
        <is>
          <t>h-reyes-4</t>
        </is>
      </c>
      <c r="B4" t="inlineStr">
        <is>
          <t>h-reyes</t>
        </is>
      </c>
      <c r="C4" t="inlineStr">
        <is>
          <t>M. Reyes</t>
        </is>
      </c>
      <c r="D4" t="inlineStr">
        <is>
          <t>Houston</t>
        </is>
      </c>
      <c r="E4" t="inlineStr">
        <is>
          <t>Redwood Construction</t>
        </is>
      </c>
      <c r="F4" t="inlineStr">
        <is>
          <t>Deposits</t>
        </is>
      </c>
      <c r="G4" t="inlineStr">
        <is>
          <t>Qualified</t>
        </is>
      </c>
      <c r="H4" s="22" t="n">
        <v>2490783.843762691</v>
      </c>
      <c r="I4" s="24" t="n">
        <v>0.2333669786108658</v>
      </c>
      <c r="J4" t="n">
        <v>75</v>
      </c>
      <c r="K4" t="n">
        <v>121</v>
      </c>
      <c r="L4" s="28" t="n">
        <v>46351</v>
      </c>
      <c r="M4" s="22" t="n">
        <v>12453.91921881346</v>
      </c>
    </row>
    <row r="5">
      <c r="A5" t="inlineStr">
        <is>
          <t>h-reyes-5</t>
        </is>
      </c>
      <c r="B5" t="inlineStr">
        <is>
          <t>h-reyes</t>
        </is>
      </c>
      <c r="C5" t="inlineStr">
        <is>
          <t>M. Reyes</t>
        </is>
      </c>
      <c r="D5" t="inlineStr">
        <is>
          <t>Houston</t>
        </is>
      </c>
      <c r="E5" t="inlineStr">
        <is>
          <t>Summit Hospitality</t>
        </is>
      </c>
      <c r="F5" t="inlineStr">
        <is>
          <t>Other Fees</t>
        </is>
      </c>
      <c r="G5" t="inlineStr">
        <is>
          <t>Qualified</t>
        </is>
      </c>
      <c r="H5" s="22" t="n">
        <v>56309.16841654107</v>
      </c>
      <c r="I5" s="24" t="n">
        <v>0.2151652165222913</v>
      </c>
      <c r="J5" t="n">
        <v>53</v>
      </c>
      <c r="K5" t="n">
        <v>97</v>
      </c>
      <c r="L5" s="28" t="n">
        <v>46311</v>
      </c>
      <c r="M5" s="22" t="n">
        <v>56309.16841654107</v>
      </c>
    </row>
    <row r="6">
      <c r="A6" t="inlineStr">
        <is>
          <t>h-reyes-6</t>
        </is>
      </c>
      <c r="B6" t="inlineStr">
        <is>
          <t>h-reyes</t>
        </is>
      </c>
      <c r="C6" t="inlineStr">
        <is>
          <t>M. Reyes</t>
        </is>
      </c>
      <c r="D6" t="inlineStr">
        <is>
          <t>Houston</t>
        </is>
      </c>
      <c r="E6" t="inlineStr">
        <is>
          <t>Trinity Pharma</t>
        </is>
      </c>
      <c r="F6" t="inlineStr">
        <is>
          <t>Other Fees</t>
        </is>
      </c>
      <c r="G6" t="inlineStr">
        <is>
          <t>Lead</t>
        </is>
      </c>
      <c r="H6" s="22" t="n">
        <v>36726.20540484786</v>
      </c>
      <c r="I6" s="24" t="n">
        <v>0.06573388492688537</v>
      </c>
      <c r="J6" t="n">
        <v>51</v>
      </c>
      <c r="K6" t="n">
        <v>79</v>
      </c>
      <c r="L6" s="28" t="n">
        <v>46330</v>
      </c>
      <c r="M6" s="22" t="n">
        <v>36726.20540484786</v>
      </c>
    </row>
    <row r="7">
      <c r="A7" t="inlineStr">
        <is>
          <t>h-reyes-7</t>
        </is>
      </c>
      <c r="B7" t="inlineStr">
        <is>
          <t>h-reyes</t>
        </is>
      </c>
      <c r="C7" t="inlineStr">
        <is>
          <t>M. Reyes</t>
        </is>
      </c>
      <c r="D7" t="inlineStr">
        <is>
          <t>Houston</t>
        </is>
      </c>
      <c r="E7" t="inlineStr">
        <is>
          <t>Union Distributors</t>
        </is>
      </c>
      <c r="F7" t="inlineStr">
        <is>
          <t>Commercial Loan</t>
        </is>
      </c>
      <c r="G7" t="inlineStr">
        <is>
          <t>Qualified</t>
        </is>
      </c>
      <c r="H7" s="22" t="n">
        <v>1681430.414269533</v>
      </c>
      <c r="I7" s="24" t="n">
        <v>0.2200093430932611</v>
      </c>
      <c r="J7" t="n">
        <v>88</v>
      </c>
      <c r="K7" t="n">
        <v>145</v>
      </c>
      <c r="L7" s="28" t="n">
        <v>46332</v>
      </c>
      <c r="M7" s="22" t="n">
        <v>57168.63408516414</v>
      </c>
    </row>
    <row r="8">
      <c r="A8" t="inlineStr">
        <is>
          <t>h-reyes-8</t>
        </is>
      </c>
      <c r="B8" t="inlineStr">
        <is>
          <t>h-reyes</t>
        </is>
      </c>
      <c r="C8" t="inlineStr">
        <is>
          <t>M. Reyes</t>
        </is>
      </c>
      <c r="D8" t="inlineStr">
        <is>
          <t>Houston</t>
        </is>
      </c>
      <c r="E8" t="inlineStr">
        <is>
          <t>Vanguard Plastics</t>
        </is>
      </c>
      <c r="F8" t="inlineStr">
        <is>
          <t>Deposits</t>
        </is>
      </c>
      <c r="G8" t="inlineStr">
        <is>
          <t>Commit</t>
        </is>
      </c>
      <c r="H8" s="22" t="n">
        <v>1591906.92811373</v>
      </c>
      <c r="I8" s="24" t="n">
        <v>0.7976867821300403</v>
      </c>
      <c r="J8" t="n">
        <v>47</v>
      </c>
      <c r="K8" t="n">
        <v>165</v>
      </c>
      <c r="L8" s="28" t="n">
        <v>46263</v>
      </c>
      <c r="M8" s="22" t="n">
        <v>7959.534640568652</v>
      </c>
    </row>
    <row r="9">
      <c r="A9" t="inlineStr">
        <is>
          <t>h-reyes-9</t>
        </is>
      </c>
      <c r="B9" t="inlineStr">
        <is>
          <t>h-reyes</t>
        </is>
      </c>
      <c r="C9" t="inlineStr">
        <is>
          <t>M. Reyes</t>
        </is>
      </c>
      <c r="D9" t="inlineStr">
        <is>
          <t>Houston</t>
        </is>
      </c>
      <c r="E9" t="inlineStr">
        <is>
          <t>Westfield Retail</t>
        </is>
      </c>
      <c r="F9" t="inlineStr">
        <is>
          <t>Deposits</t>
        </is>
      </c>
      <c r="G9" t="inlineStr">
        <is>
          <t>Lead</t>
        </is>
      </c>
      <c r="H9" s="22" t="n">
        <v>5644082.342413204</v>
      </c>
      <c r="I9" s="24" t="n">
        <v>0.09053701611701399</v>
      </c>
      <c r="J9" t="n">
        <v>38</v>
      </c>
      <c r="K9" t="n">
        <v>55</v>
      </c>
      <c r="L9" s="28" t="n">
        <v>46380</v>
      </c>
      <c r="M9" s="22" t="n">
        <v>28220.41171206602</v>
      </c>
    </row>
    <row r="10">
      <c r="A10" t="inlineStr">
        <is>
          <t>h-reyes-10</t>
        </is>
      </c>
      <c r="B10" t="inlineStr">
        <is>
          <t>h-reyes</t>
        </is>
      </c>
      <c r="C10" t="inlineStr">
        <is>
          <t>M. Reyes</t>
        </is>
      </c>
      <c r="D10" t="inlineStr">
        <is>
          <t>Houston</t>
        </is>
      </c>
      <c r="E10" t="inlineStr">
        <is>
          <t>Yellowstone Ranch</t>
        </is>
      </c>
      <c r="F10" t="inlineStr">
        <is>
          <t>Commercial Loan</t>
        </is>
      </c>
      <c r="G10" t="inlineStr">
        <is>
          <t>Lead</t>
        </is>
      </c>
      <c r="H10" s="22" t="n">
        <v>2214860.592567027</v>
      </c>
      <c r="I10" s="24" t="n">
        <v>0.1228665930218995</v>
      </c>
      <c r="J10" t="n">
        <v>45</v>
      </c>
      <c r="K10" t="n">
        <v>67</v>
      </c>
      <c r="L10" s="28" t="n">
        <v>46358</v>
      </c>
      <c r="M10" s="22" t="n">
        <v>75305.26014727892</v>
      </c>
    </row>
    <row r="11">
      <c r="A11" t="inlineStr">
        <is>
          <t>h-reyes-11</t>
        </is>
      </c>
      <c r="B11" t="inlineStr">
        <is>
          <t>h-reyes</t>
        </is>
      </c>
      <c r="C11" t="inlineStr">
        <is>
          <t>M. Reyes</t>
        </is>
      </c>
      <c r="D11" t="inlineStr">
        <is>
          <t>Houston</t>
        </is>
      </c>
      <c r="E11" t="inlineStr">
        <is>
          <t>Zenith Software</t>
        </is>
      </c>
      <c r="F11" t="inlineStr">
        <is>
          <t>Deposits</t>
        </is>
      </c>
      <c r="G11" t="inlineStr">
        <is>
          <t>Lead</t>
        </is>
      </c>
      <c r="H11" s="22" t="n">
        <v>631615.2739707652</v>
      </c>
      <c r="I11" s="24" t="n">
        <v>0.1411696986528114</v>
      </c>
      <c r="J11" t="n">
        <v>24</v>
      </c>
      <c r="K11" t="n">
        <v>31</v>
      </c>
      <c r="L11" s="28" t="n">
        <v>46364</v>
      </c>
      <c r="M11" s="22" t="n">
        <v>3158.076369853826</v>
      </c>
    </row>
    <row r="12">
      <c r="A12" t="inlineStr">
        <is>
          <t>h-reyes-13</t>
        </is>
      </c>
      <c r="B12" t="inlineStr">
        <is>
          <t>h-reyes</t>
        </is>
      </c>
      <c r="C12" t="inlineStr">
        <is>
          <t>M. Reyes</t>
        </is>
      </c>
      <c r="D12" t="inlineStr">
        <is>
          <t>Houston</t>
        </is>
      </c>
      <c r="E12" t="inlineStr">
        <is>
          <t>Brazos Petroleum</t>
        </is>
      </c>
      <c r="F12" t="inlineStr">
        <is>
          <t>Treasury Management</t>
        </is>
      </c>
      <c r="G12" t="inlineStr">
        <is>
          <t>Proposal</t>
        </is>
      </c>
      <c r="H12" s="22" t="n">
        <v>258735.1896497421</v>
      </c>
      <c r="I12" s="24" t="n">
        <v>0.48768674666062</v>
      </c>
      <c r="J12" t="n">
        <v>17</v>
      </c>
      <c r="K12" t="n">
        <v>98</v>
      </c>
      <c r="L12" s="28" t="n">
        <v>46264</v>
      </c>
      <c r="M12" s="22" t="n">
        <v>258735.1896497421</v>
      </c>
    </row>
    <row r="13">
      <c r="A13" t="inlineStr">
        <is>
          <t>h-patel-0</t>
        </is>
      </c>
      <c r="B13" t="inlineStr">
        <is>
          <t>h-patel</t>
        </is>
      </c>
      <c r="C13" t="inlineStr">
        <is>
          <t>D. Patel</t>
        </is>
      </c>
      <c r="D13" t="inlineStr">
        <is>
          <t>Houston</t>
        </is>
      </c>
      <c r="E13" t="inlineStr">
        <is>
          <t>Zenith Software</t>
        </is>
      </c>
      <c r="F13" t="inlineStr">
        <is>
          <t>Deposits</t>
        </is>
      </c>
      <c r="G13" t="inlineStr">
        <is>
          <t>Lead</t>
        </is>
      </c>
      <c r="H13" s="22" t="n">
        <v>3805889.470379005</v>
      </c>
      <c r="I13" s="24" t="n">
        <v>0.1462380021577701</v>
      </c>
      <c r="J13" t="n">
        <v>88</v>
      </c>
      <c r="K13" t="n">
        <v>89</v>
      </c>
      <c r="L13" s="28" t="n">
        <v>46383</v>
      </c>
      <c r="M13" s="22" t="n">
        <v>19029.44735189503</v>
      </c>
    </row>
    <row r="14">
      <c r="A14" t="inlineStr">
        <is>
          <t>h-patel-1</t>
        </is>
      </c>
      <c r="B14" t="inlineStr">
        <is>
          <t>h-patel</t>
        </is>
      </c>
      <c r="C14" t="inlineStr">
        <is>
          <t>D. Patel</t>
        </is>
      </c>
      <c r="D14" t="inlineStr">
        <is>
          <t>Houston</t>
        </is>
      </c>
      <c r="E14" t="inlineStr">
        <is>
          <t>Alamo Equipment</t>
        </is>
      </c>
      <c r="F14" t="inlineStr">
        <is>
          <t>Other Fees</t>
        </is>
      </c>
      <c r="G14" t="inlineStr">
        <is>
          <t>Lead</t>
        </is>
      </c>
      <c r="H14" s="22" t="n">
        <v>44796.73284711316</v>
      </c>
      <c r="I14" s="24" t="n">
        <v>0.09779870598576963</v>
      </c>
      <c r="J14" t="n">
        <v>90</v>
      </c>
      <c r="K14" t="n">
        <v>120</v>
      </c>
      <c r="L14" s="28" t="n">
        <v>46336</v>
      </c>
      <c r="M14" s="22" t="n">
        <v>44796.73284711316</v>
      </c>
    </row>
    <row r="15">
      <c r="A15" t="inlineStr">
        <is>
          <t>h-patel-2</t>
        </is>
      </c>
      <c r="B15" t="inlineStr">
        <is>
          <t>h-patel</t>
        </is>
      </c>
      <c r="C15" t="inlineStr">
        <is>
          <t>D. Patel</t>
        </is>
      </c>
      <c r="D15" t="inlineStr">
        <is>
          <t>Houston</t>
        </is>
      </c>
      <c r="E15" t="inlineStr">
        <is>
          <t>Brazos Petroleum</t>
        </is>
      </c>
      <c r="F15" t="inlineStr">
        <is>
          <t>Other Fees</t>
        </is>
      </c>
      <c r="G15" t="inlineStr">
        <is>
          <t>Commit</t>
        </is>
      </c>
      <c r="H15" s="22" t="n">
        <v>21234.43465586752</v>
      </c>
      <c r="I15" s="24" t="n">
        <v>0.7959317384753377</v>
      </c>
      <c r="J15" t="n">
        <v>15</v>
      </c>
      <c r="K15" t="n">
        <v>106</v>
      </c>
      <c r="L15" s="28" t="n">
        <v>46244</v>
      </c>
      <c r="M15" s="22" t="n">
        <v>21234.43465586752</v>
      </c>
    </row>
    <row r="16">
      <c r="A16" t="inlineStr">
        <is>
          <t>h-patel-3</t>
        </is>
      </c>
      <c r="B16" t="inlineStr">
        <is>
          <t>h-patel</t>
        </is>
      </c>
      <c r="C16" t="inlineStr">
        <is>
          <t>D. Patel</t>
        </is>
      </c>
      <c r="D16" t="inlineStr">
        <is>
          <t>Houston</t>
        </is>
      </c>
      <c r="E16" t="inlineStr">
        <is>
          <t>Cedar Cabinetry</t>
        </is>
      </c>
      <c r="F16" t="inlineStr">
        <is>
          <t>Deposits</t>
        </is>
      </c>
      <c r="G16" t="inlineStr">
        <is>
          <t>Qualified</t>
        </is>
      </c>
      <c r="H16" s="22" t="n">
        <v>664568.04218806</v>
      </c>
      <c r="I16" s="24" t="n">
        <v>0.2805072119925171</v>
      </c>
      <c r="J16" t="n">
        <v>19</v>
      </c>
      <c r="K16" t="n">
        <v>67</v>
      </c>
      <c r="L16" s="28" t="n">
        <v>46339</v>
      </c>
      <c r="M16" s="22" t="n">
        <v>3322.8402109403</v>
      </c>
    </row>
    <row r="17">
      <c r="A17" t="inlineStr">
        <is>
          <t>h-patel-4</t>
        </is>
      </c>
      <c r="B17" t="inlineStr">
        <is>
          <t>h-patel</t>
        </is>
      </c>
      <c r="C17" t="inlineStr">
        <is>
          <t>D. Patel</t>
        </is>
      </c>
      <c r="D17" t="inlineStr">
        <is>
          <t>Houston</t>
        </is>
      </c>
      <c r="E17" t="inlineStr">
        <is>
          <t>Driftwood Hotels</t>
        </is>
      </c>
      <c r="F17" t="inlineStr">
        <is>
          <t>Other Fees</t>
        </is>
      </c>
      <c r="G17" t="inlineStr">
        <is>
          <t>Proposal</t>
        </is>
      </c>
      <c r="H17" s="22" t="n">
        <v>51592.1044186689</v>
      </c>
      <c r="I17" s="24" t="n">
        <v>0.5393878709990532</v>
      </c>
      <c r="J17" t="n">
        <v>28</v>
      </c>
      <c r="K17" t="n">
        <v>97</v>
      </c>
      <c r="L17" s="28" t="n">
        <v>46310</v>
      </c>
      <c r="M17" s="22" t="n">
        <v>51592.1044186689</v>
      </c>
    </row>
    <row r="18">
      <c r="A18" t="inlineStr">
        <is>
          <t>h-patel-5</t>
        </is>
      </c>
      <c r="B18" t="inlineStr">
        <is>
          <t>h-patel</t>
        </is>
      </c>
      <c r="C18" t="inlineStr">
        <is>
          <t>D. Patel</t>
        </is>
      </c>
      <c r="D18" t="inlineStr">
        <is>
          <t>Houston</t>
        </is>
      </c>
      <c r="E18" t="inlineStr">
        <is>
          <t>Acme Holdings</t>
        </is>
      </c>
      <c r="F18" t="inlineStr">
        <is>
          <t>Deposits</t>
        </is>
      </c>
      <c r="G18" t="inlineStr">
        <is>
          <t>Commit</t>
        </is>
      </c>
      <c r="H18" s="22" t="n">
        <v>5523470.114967437</v>
      </c>
      <c r="I18" s="24" t="n">
        <v>0.7583342947997154</v>
      </c>
      <c r="J18" t="n">
        <v>73</v>
      </c>
      <c r="K18" t="n">
        <v>174</v>
      </c>
      <c r="L18" s="28" t="n">
        <v>46253</v>
      </c>
      <c r="M18" s="22" t="n">
        <v>27617.35057483719</v>
      </c>
    </row>
    <row r="19">
      <c r="A19" t="inlineStr">
        <is>
          <t>h-patel-6</t>
        </is>
      </c>
      <c r="B19" t="inlineStr">
        <is>
          <t>h-patel</t>
        </is>
      </c>
      <c r="C19" t="inlineStr">
        <is>
          <t>D. Patel</t>
        </is>
      </c>
      <c r="D19" t="inlineStr">
        <is>
          <t>Houston</t>
        </is>
      </c>
      <c r="E19" t="inlineStr">
        <is>
          <t>Beacon Industries</t>
        </is>
      </c>
      <c r="F19" t="inlineStr">
        <is>
          <t>Treasury Management</t>
        </is>
      </c>
      <c r="G19" t="inlineStr">
        <is>
          <t>Proposal</t>
        </is>
      </c>
      <c r="H19" s="22" t="n">
        <v>154984.0535246767</v>
      </c>
      <c r="I19" s="24" t="n">
        <v>0.5371772957500071</v>
      </c>
      <c r="J19" t="n">
        <v>80</v>
      </c>
      <c r="K19" t="n">
        <v>166</v>
      </c>
      <c r="L19" s="28" t="n">
        <v>46286</v>
      </c>
      <c r="M19" s="22" t="n">
        <v>154984.0535246767</v>
      </c>
    </row>
    <row r="20">
      <c r="A20" t="inlineStr">
        <is>
          <t>h-patel-7</t>
        </is>
      </c>
      <c r="B20" t="inlineStr">
        <is>
          <t>h-patel</t>
        </is>
      </c>
      <c r="C20" t="inlineStr">
        <is>
          <t>D. Patel</t>
        </is>
      </c>
      <c r="D20" t="inlineStr">
        <is>
          <t>Houston</t>
        </is>
      </c>
      <c r="E20" t="inlineStr">
        <is>
          <t>Cypress Group</t>
        </is>
      </c>
      <c r="F20" t="inlineStr">
        <is>
          <t>Commercial Loan</t>
        </is>
      </c>
      <c r="G20" t="inlineStr">
        <is>
          <t>Lead</t>
        </is>
      </c>
      <c r="H20" s="22" t="n">
        <v>1294674.450442812</v>
      </c>
      <c r="I20" s="24" t="n">
        <v>0.1322493775514886</v>
      </c>
      <c r="J20" t="n">
        <v>63</v>
      </c>
      <c r="K20" t="n">
        <v>85</v>
      </c>
      <c r="L20" s="28" t="n">
        <v>46364</v>
      </c>
      <c r="M20" s="22" t="n">
        <v>44018.93131505563</v>
      </c>
    </row>
    <row r="21">
      <c r="A21" t="inlineStr">
        <is>
          <t>h-patel-9</t>
        </is>
      </c>
      <c r="B21" t="inlineStr">
        <is>
          <t>h-patel</t>
        </is>
      </c>
      <c r="C21" t="inlineStr">
        <is>
          <t>D. Patel</t>
        </is>
      </c>
      <c r="D21" t="inlineStr">
        <is>
          <t>Houston</t>
        </is>
      </c>
      <c r="E21" t="inlineStr">
        <is>
          <t>Evergreen Realty</t>
        </is>
      </c>
      <c r="F21" t="inlineStr">
        <is>
          <t>Commercial Loan</t>
        </is>
      </c>
      <c r="G21" t="inlineStr">
        <is>
          <t>Commit</t>
        </is>
      </c>
      <c r="H21" s="22" t="n">
        <v>7093495.942013834</v>
      </c>
      <c r="I21" s="24" t="n">
        <v>0.8164970132056624</v>
      </c>
      <c r="J21" t="n">
        <v>53</v>
      </c>
      <c r="K21" t="n">
        <v>149</v>
      </c>
      <c r="L21" s="28" t="n">
        <v>46262</v>
      </c>
      <c r="M21" s="22" t="n">
        <v>241178.8620284704</v>
      </c>
    </row>
    <row r="22">
      <c r="A22" t="inlineStr">
        <is>
          <t>h-patel-10</t>
        </is>
      </c>
      <c r="B22" t="inlineStr">
        <is>
          <t>h-patel</t>
        </is>
      </c>
      <c r="C22" t="inlineStr">
        <is>
          <t>D. Patel</t>
        </is>
      </c>
      <c r="D22" t="inlineStr">
        <is>
          <t>Houston</t>
        </is>
      </c>
      <c r="E22" t="inlineStr">
        <is>
          <t>Galleon Logistics</t>
        </is>
      </c>
      <c r="F22" t="inlineStr">
        <is>
          <t>Commercial Loan</t>
        </is>
      </c>
      <c r="G22" t="inlineStr">
        <is>
          <t>Qualified</t>
        </is>
      </c>
      <c r="H22" s="22" t="n">
        <v>3025189.441949098</v>
      </c>
      <c r="I22" s="24" t="n">
        <v>0.2589658434968442</v>
      </c>
      <c r="J22" t="n">
        <v>29</v>
      </c>
      <c r="K22" t="n">
        <v>87</v>
      </c>
      <c r="L22" s="28" t="n">
        <v>46328</v>
      </c>
      <c r="M22" s="22" t="n">
        <v>102856.4410262694</v>
      </c>
    </row>
    <row r="23">
      <c r="A23" t="inlineStr">
        <is>
          <t>h-patel-11</t>
        </is>
      </c>
      <c r="B23" t="inlineStr">
        <is>
          <t>h-patel</t>
        </is>
      </c>
      <c r="C23" t="inlineStr">
        <is>
          <t>D. Patel</t>
        </is>
      </c>
      <c r="D23" t="inlineStr">
        <is>
          <t>Houston</t>
        </is>
      </c>
      <c r="E23" t="inlineStr">
        <is>
          <t>Harbor Partners</t>
        </is>
      </c>
      <c r="F23" t="inlineStr">
        <is>
          <t>Treasury Management</t>
        </is>
      </c>
      <c r="G23" t="inlineStr">
        <is>
          <t>Qualified</t>
        </is>
      </c>
      <c r="H23" s="22" t="n">
        <v>118290.8835611306</v>
      </c>
      <c r="I23" s="24" t="n">
        <v>0.2855236698873341</v>
      </c>
      <c r="J23" t="n">
        <v>33</v>
      </c>
      <c r="K23" t="n">
        <v>91</v>
      </c>
      <c r="L23" s="28" t="n">
        <v>46295</v>
      </c>
      <c r="M23" s="22" t="n">
        <v>118290.8835611306</v>
      </c>
    </row>
    <row r="24">
      <c r="A24" t="inlineStr">
        <is>
          <t>h-patel-12</t>
        </is>
      </c>
      <c r="B24" t="inlineStr">
        <is>
          <t>h-patel</t>
        </is>
      </c>
      <c r="C24" t="inlineStr">
        <is>
          <t>D. Patel</t>
        </is>
      </c>
      <c r="D24" t="inlineStr">
        <is>
          <t>Houston</t>
        </is>
      </c>
      <c r="E24" t="inlineStr">
        <is>
          <t>Ironwood Capital</t>
        </is>
      </c>
      <c r="F24" t="inlineStr">
        <is>
          <t>Commercial Loan</t>
        </is>
      </c>
      <c r="G24" t="inlineStr">
        <is>
          <t>Lead</t>
        </is>
      </c>
      <c r="H24" s="22" t="n">
        <v>652838.681675053</v>
      </c>
      <c r="I24" s="24" t="n">
        <v>0.08629365651868284</v>
      </c>
      <c r="J24" t="n">
        <v>28</v>
      </c>
      <c r="K24" t="n">
        <v>50</v>
      </c>
      <c r="L24" s="28" t="n">
        <v>46368</v>
      </c>
      <c r="M24" s="22" t="n">
        <v>22196.5151769518</v>
      </c>
    </row>
    <row r="25">
      <c r="A25" t="inlineStr">
        <is>
          <t>h-tran-0</t>
        </is>
      </c>
      <c r="B25" t="inlineStr">
        <is>
          <t>h-tran</t>
        </is>
      </c>
      <c r="C25" t="inlineStr">
        <is>
          <t>A. Tran</t>
        </is>
      </c>
      <c r="D25" t="inlineStr">
        <is>
          <t>Houston</t>
        </is>
      </c>
      <c r="E25" t="inlineStr">
        <is>
          <t>Cedar Cabinetry</t>
        </is>
      </c>
      <c r="F25" t="inlineStr">
        <is>
          <t>Commercial Loan</t>
        </is>
      </c>
      <c r="G25" t="inlineStr">
        <is>
          <t>Lead</t>
        </is>
      </c>
      <c r="H25" s="22" t="n">
        <v>1005286.409578336</v>
      </c>
      <c r="I25" s="24" t="n">
        <v>0.05807494998443872</v>
      </c>
      <c r="J25" t="n">
        <v>74</v>
      </c>
      <c r="K25" t="n">
        <v>81</v>
      </c>
      <c r="L25" s="28" t="n">
        <v>46337</v>
      </c>
      <c r="M25" s="22" t="n">
        <v>34179.73792566343</v>
      </c>
    </row>
    <row r="26">
      <c r="A26" t="inlineStr">
        <is>
          <t>h-tran-1</t>
        </is>
      </c>
      <c r="B26" t="inlineStr">
        <is>
          <t>h-tran</t>
        </is>
      </c>
      <c r="C26" t="inlineStr">
        <is>
          <t>A. Tran</t>
        </is>
      </c>
      <c r="D26" t="inlineStr">
        <is>
          <t>Houston</t>
        </is>
      </c>
      <c r="E26" t="inlineStr">
        <is>
          <t>Driftwood Hotels</t>
        </is>
      </c>
      <c r="F26" t="inlineStr">
        <is>
          <t>Treasury Management</t>
        </is>
      </c>
      <c r="G26" t="inlineStr">
        <is>
          <t>Commit</t>
        </is>
      </c>
      <c r="H26" s="22" t="n">
        <v>76930.68996537477</v>
      </c>
      <c r="I26" s="24" t="n">
        <v>0.7639628823613749</v>
      </c>
      <c r="J26" t="n">
        <v>83</v>
      </c>
      <c r="K26" t="n">
        <v>202</v>
      </c>
      <c r="L26" s="28" t="n">
        <v>46269</v>
      </c>
      <c r="M26" s="22" t="n">
        <v>76930.68996537477</v>
      </c>
    </row>
    <row r="27">
      <c r="A27" t="inlineStr">
        <is>
          <t>h-tran-2</t>
        </is>
      </c>
      <c r="B27" t="inlineStr">
        <is>
          <t>h-tran</t>
        </is>
      </c>
      <c r="C27" t="inlineStr">
        <is>
          <t>A. Tran</t>
        </is>
      </c>
      <c r="D27" t="inlineStr">
        <is>
          <t>Houston</t>
        </is>
      </c>
      <c r="E27" t="inlineStr">
        <is>
          <t>Acme Holdings</t>
        </is>
      </c>
      <c r="F27" t="inlineStr">
        <is>
          <t>Commercial Loan</t>
        </is>
      </c>
      <c r="G27" t="inlineStr">
        <is>
          <t>Qualified</t>
        </is>
      </c>
      <c r="H27" s="22" t="n">
        <v>8942929.718676345</v>
      </c>
      <c r="I27" s="24" t="n">
        <v>0.2500789763405919</v>
      </c>
      <c r="J27" t="n">
        <v>40</v>
      </c>
      <c r="K27" t="n">
        <v>78</v>
      </c>
      <c r="L27" s="28" t="n">
        <v>46326</v>
      </c>
      <c r="M27" s="22" t="n">
        <v>304059.6104349958</v>
      </c>
    </row>
    <row r="28">
      <c r="A28" t="inlineStr">
        <is>
          <t>h-tran-3</t>
        </is>
      </c>
      <c r="B28" t="inlineStr">
        <is>
          <t>h-tran</t>
        </is>
      </c>
      <c r="C28" t="inlineStr">
        <is>
          <t>A. Tran</t>
        </is>
      </c>
      <c r="D28" t="inlineStr">
        <is>
          <t>Houston</t>
        </is>
      </c>
      <c r="E28" t="inlineStr">
        <is>
          <t>Beacon Industries</t>
        </is>
      </c>
      <c r="F28" t="inlineStr">
        <is>
          <t>Deposits</t>
        </is>
      </c>
      <c r="G28" t="inlineStr">
        <is>
          <t>Lead</t>
        </is>
      </c>
      <c r="H28" s="22" t="n">
        <v>2437446.784970643</v>
      </c>
      <c r="I28" s="24" t="n">
        <v>0.1449301612563431</v>
      </c>
      <c r="J28" t="n">
        <v>11</v>
      </c>
      <c r="K28" t="n">
        <v>31</v>
      </c>
      <c r="L28" s="28" t="n">
        <v>46330</v>
      </c>
      <c r="M28" s="22" t="n">
        <v>12187.23392485322</v>
      </c>
    </row>
    <row r="29">
      <c r="A29" t="inlineStr">
        <is>
          <t>h-tran-4</t>
        </is>
      </c>
      <c r="B29" t="inlineStr">
        <is>
          <t>h-tran</t>
        </is>
      </c>
      <c r="C29" t="inlineStr">
        <is>
          <t>A. Tran</t>
        </is>
      </c>
      <c r="D29" t="inlineStr">
        <is>
          <t>Houston</t>
        </is>
      </c>
      <c r="E29" t="inlineStr">
        <is>
          <t>Cypress Group</t>
        </is>
      </c>
      <c r="F29" t="inlineStr">
        <is>
          <t>Commercial Loan</t>
        </is>
      </c>
      <c r="G29" t="inlineStr">
        <is>
          <t>Proposal</t>
        </is>
      </c>
      <c r="H29" s="22" t="n">
        <v>6584533.200003929</v>
      </c>
      <c r="I29" s="24" t="n">
        <v>0.495425940817222</v>
      </c>
      <c r="J29" t="n">
        <v>69</v>
      </c>
      <c r="K29" t="n">
        <v>137</v>
      </c>
      <c r="L29" s="28" t="n">
        <v>46298</v>
      </c>
      <c r="M29" s="22" t="n">
        <v>223874.1288001336</v>
      </c>
    </row>
    <row r="30">
      <c r="A30" t="inlineStr">
        <is>
          <t>h-tran-5</t>
        </is>
      </c>
      <c r="B30" t="inlineStr">
        <is>
          <t>h-tran</t>
        </is>
      </c>
      <c r="C30" t="inlineStr">
        <is>
          <t>A. Tran</t>
        </is>
      </c>
      <c r="D30" t="inlineStr">
        <is>
          <t>Houston</t>
        </is>
      </c>
      <c r="E30" t="inlineStr">
        <is>
          <t>Delta Manufacturing</t>
        </is>
      </c>
      <c r="F30" t="inlineStr">
        <is>
          <t>Other Fees</t>
        </is>
      </c>
      <c r="G30" t="inlineStr">
        <is>
          <t>Qualified</t>
        </is>
      </c>
      <c r="H30" s="22" t="n">
        <v>26664.60966737941</v>
      </c>
      <c r="I30" s="24" t="n">
        <v>0.266752457455732</v>
      </c>
      <c r="J30" t="n">
        <v>20</v>
      </c>
      <c r="K30" t="n">
        <v>78</v>
      </c>
      <c r="L30" s="28" t="n">
        <v>46350</v>
      </c>
      <c r="M30" s="22" t="n">
        <v>26664.60966737941</v>
      </c>
    </row>
    <row r="31">
      <c r="A31" t="inlineStr">
        <is>
          <t>h-tran-6</t>
        </is>
      </c>
      <c r="B31" t="inlineStr">
        <is>
          <t>h-tran</t>
        </is>
      </c>
      <c r="C31" t="inlineStr">
        <is>
          <t>A. Tran</t>
        </is>
      </c>
      <c r="D31" t="inlineStr">
        <is>
          <t>Houston</t>
        </is>
      </c>
      <c r="E31" t="inlineStr">
        <is>
          <t>Evergreen Realty</t>
        </is>
      </c>
      <c r="F31" t="inlineStr">
        <is>
          <t>Other Fees</t>
        </is>
      </c>
      <c r="G31" t="inlineStr">
        <is>
          <t>Proposal</t>
        </is>
      </c>
      <c r="H31" s="22" t="n">
        <v>67793.99687889963</v>
      </c>
      <c r="I31" s="24" t="n">
        <v>0.5078452450688928</v>
      </c>
      <c r="J31" t="n">
        <v>10</v>
      </c>
      <c r="K31" t="n">
        <v>94</v>
      </c>
      <c r="L31" s="28" t="n">
        <v>46274</v>
      </c>
      <c r="M31" s="22" t="n">
        <v>67793.99687889963</v>
      </c>
    </row>
    <row r="32">
      <c r="A32" t="inlineStr">
        <is>
          <t>h-tran-8</t>
        </is>
      </c>
      <c r="B32" t="inlineStr">
        <is>
          <t>h-tran</t>
        </is>
      </c>
      <c r="C32" t="inlineStr">
        <is>
          <t>A. Tran</t>
        </is>
      </c>
      <c r="D32" t="inlineStr">
        <is>
          <t>Houston</t>
        </is>
      </c>
      <c r="E32" t="inlineStr">
        <is>
          <t>Galleon Logistics</t>
        </is>
      </c>
      <c r="F32" t="inlineStr">
        <is>
          <t>Commercial Loan</t>
        </is>
      </c>
      <c r="G32" t="inlineStr">
        <is>
          <t>Proposal</t>
        </is>
      </c>
      <c r="H32" s="22" t="n">
        <v>4952275.328447817</v>
      </c>
      <c r="I32" s="24" t="n">
        <v>0.530060442793183</v>
      </c>
      <c r="J32" t="n">
        <v>12</v>
      </c>
      <c r="K32" t="n">
        <v>100</v>
      </c>
      <c r="L32" s="28" t="n">
        <v>46313</v>
      </c>
      <c r="M32" s="22" t="n">
        <v>168377.3611672258</v>
      </c>
    </row>
    <row r="33">
      <c r="A33" t="inlineStr">
        <is>
          <t>h-tran-9</t>
        </is>
      </c>
      <c r="B33" t="inlineStr">
        <is>
          <t>h-tran</t>
        </is>
      </c>
      <c r="C33" t="inlineStr">
        <is>
          <t>A. Tran</t>
        </is>
      </c>
      <c r="D33" t="inlineStr">
        <is>
          <t>Houston</t>
        </is>
      </c>
      <c r="E33" t="inlineStr">
        <is>
          <t>Harbor Partners</t>
        </is>
      </c>
      <c r="F33" t="inlineStr">
        <is>
          <t>Commercial Loan</t>
        </is>
      </c>
      <c r="G33" t="inlineStr">
        <is>
          <t>Lead</t>
        </is>
      </c>
      <c r="H33" s="22" t="n">
        <v>16637851.9925955</v>
      </c>
      <c r="I33" s="24" t="n">
        <v>0.1182617895537987</v>
      </c>
      <c r="J33" t="n">
        <v>58</v>
      </c>
      <c r="K33" t="n">
        <v>87</v>
      </c>
      <c r="L33" s="28" t="n">
        <v>46370</v>
      </c>
      <c r="M33" s="22" t="n">
        <v>565686.9677482472</v>
      </c>
    </row>
    <row r="34">
      <c r="A34" t="inlineStr">
        <is>
          <t>h-tran-10</t>
        </is>
      </c>
      <c r="B34" t="inlineStr">
        <is>
          <t>h-tran</t>
        </is>
      </c>
      <c r="C34" t="inlineStr">
        <is>
          <t>A. Tran</t>
        </is>
      </c>
      <c r="D34" t="inlineStr">
        <is>
          <t>Houston</t>
        </is>
      </c>
      <c r="E34" t="inlineStr">
        <is>
          <t>Harbor Partners</t>
        </is>
      </c>
      <c r="F34" t="inlineStr">
        <is>
          <t>Deposits</t>
        </is>
      </c>
      <c r="G34" t="inlineStr">
        <is>
          <t>Lead</t>
        </is>
      </c>
      <c r="H34" s="22" t="n">
        <v>2865543.015427641</v>
      </c>
      <c r="I34" s="24" t="n">
        <v>0.1355565576115623</v>
      </c>
      <c r="J34" t="n">
        <v>65</v>
      </c>
      <c r="K34" t="n">
        <v>93</v>
      </c>
      <c r="L34" s="28" t="n">
        <v>46326</v>
      </c>
      <c r="M34" s="22" t="n">
        <v>14327.71507713821</v>
      </c>
    </row>
    <row r="35">
      <c r="A35" t="inlineStr">
        <is>
          <t>h-williams-0</t>
        </is>
      </c>
      <c r="B35" t="inlineStr">
        <is>
          <t>h-williams</t>
        </is>
      </c>
      <c r="C35" t="inlineStr">
        <is>
          <t>K. Williams</t>
        </is>
      </c>
      <c r="D35" t="inlineStr">
        <is>
          <t>Houston</t>
        </is>
      </c>
      <c r="E35" t="inlineStr">
        <is>
          <t>Harbor Partners</t>
        </is>
      </c>
      <c r="F35" t="inlineStr">
        <is>
          <t>Commercial Loan</t>
        </is>
      </c>
      <c r="G35" t="inlineStr">
        <is>
          <t>Lead</t>
        </is>
      </c>
      <c r="H35" s="22" t="n">
        <v>15724903.48517242</v>
      </c>
      <c r="I35" s="24" t="n">
        <v>0.05825879462063313</v>
      </c>
      <c r="J35" t="n">
        <v>77</v>
      </c>
      <c r="K35" t="n">
        <v>104</v>
      </c>
      <c r="L35" s="28" t="n">
        <v>46378</v>
      </c>
      <c r="M35" s="22" t="n">
        <v>534646.7184958622</v>
      </c>
    </row>
    <row r="36">
      <c r="A36" t="inlineStr">
        <is>
          <t>h-williams-1</t>
        </is>
      </c>
      <c r="B36" t="inlineStr">
        <is>
          <t>h-williams</t>
        </is>
      </c>
      <c r="C36" t="inlineStr">
        <is>
          <t>K. Williams</t>
        </is>
      </c>
      <c r="D36" t="inlineStr">
        <is>
          <t>Houston</t>
        </is>
      </c>
      <c r="E36" t="inlineStr">
        <is>
          <t>Ironwood Capital</t>
        </is>
      </c>
      <c r="F36" t="inlineStr">
        <is>
          <t>Deposits</t>
        </is>
      </c>
      <c r="G36" t="inlineStr">
        <is>
          <t>Lead</t>
        </is>
      </c>
      <c r="H36" s="22" t="n">
        <v>933487.8680205336</v>
      </c>
      <c r="I36" s="24" t="n">
        <v>0.1089352705748752</v>
      </c>
      <c r="J36" t="n">
        <v>64</v>
      </c>
      <c r="K36" t="n">
        <v>85</v>
      </c>
      <c r="L36" s="28" t="n">
        <v>46375</v>
      </c>
      <c r="M36" s="22" t="n">
        <v>4667.439340102668</v>
      </c>
    </row>
    <row r="37">
      <c r="A37" t="inlineStr">
        <is>
          <t>h-williams-2</t>
        </is>
      </c>
      <c r="B37" t="inlineStr">
        <is>
          <t>h-williams</t>
        </is>
      </c>
      <c r="C37" t="inlineStr">
        <is>
          <t>K. Williams</t>
        </is>
      </c>
      <c r="D37" t="inlineStr">
        <is>
          <t>Houston</t>
        </is>
      </c>
      <c r="E37" t="inlineStr">
        <is>
          <t>Juniper Foods</t>
        </is>
      </c>
      <c r="F37" t="inlineStr">
        <is>
          <t>Commercial Loan</t>
        </is>
      </c>
      <c r="G37" t="inlineStr">
        <is>
          <t>Proposal</t>
        </is>
      </c>
      <c r="H37" s="22" t="n">
        <v>779233.0752810328</v>
      </c>
      <c r="I37" s="24" t="n">
        <v>0.4508019340923056</v>
      </c>
      <c r="J37" t="n">
        <v>103</v>
      </c>
      <c r="K37" t="n">
        <v>188</v>
      </c>
      <c r="L37" s="28" t="n">
        <v>46276</v>
      </c>
      <c r="M37" s="22" t="n">
        <v>26493.92455955512</v>
      </c>
    </row>
    <row r="38">
      <c r="A38" t="inlineStr">
        <is>
          <t>h-williams-3</t>
        </is>
      </c>
      <c r="B38" t="inlineStr">
        <is>
          <t>h-williams</t>
        </is>
      </c>
      <c r="C38" t="inlineStr">
        <is>
          <t>K. Williams</t>
        </is>
      </c>
      <c r="D38" t="inlineStr">
        <is>
          <t>Houston</t>
        </is>
      </c>
      <c r="E38" t="inlineStr">
        <is>
          <t>Keystone Steel</t>
        </is>
      </c>
      <c r="F38" t="inlineStr">
        <is>
          <t>Commercial Loan</t>
        </is>
      </c>
      <c r="G38" t="inlineStr">
        <is>
          <t>Qualified</t>
        </is>
      </c>
      <c r="H38" s="22" t="n">
        <v>2585647.287890017</v>
      </c>
      <c r="I38" s="24" t="n">
        <v>0.2363191315438598</v>
      </c>
      <c r="J38" t="n">
        <v>89</v>
      </c>
      <c r="K38" t="n">
        <v>148</v>
      </c>
      <c r="L38" s="28" t="n">
        <v>46314</v>
      </c>
      <c r="M38" s="22" t="n">
        <v>87912.00778826058</v>
      </c>
    </row>
    <row r="39">
      <c r="A39" t="inlineStr">
        <is>
          <t>h-williams-4</t>
        </is>
      </c>
      <c r="B39" t="inlineStr">
        <is>
          <t>h-williams</t>
        </is>
      </c>
      <c r="C39" t="inlineStr">
        <is>
          <t>K. Williams</t>
        </is>
      </c>
      <c r="D39" t="inlineStr">
        <is>
          <t>Houston</t>
        </is>
      </c>
      <c r="E39" t="inlineStr">
        <is>
          <t>Lakeside Medical</t>
        </is>
      </c>
      <c r="F39" t="inlineStr">
        <is>
          <t>Commercial Loan</t>
        </is>
      </c>
      <c r="G39" t="inlineStr">
        <is>
          <t>Qualified</t>
        </is>
      </c>
      <c r="H39" s="22" t="n">
        <v>5200728.876668954</v>
      </c>
      <c r="I39" s="24" t="n">
        <v>0.2736878189258277</v>
      </c>
      <c r="J39" t="n">
        <v>32</v>
      </c>
      <c r="K39" t="n">
        <v>81</v>
      </c>
      <c r="L39" s="28" t="n">
        <v>46310</v>
      </c>
      <c r="M39" s="22" t="n">
        <v>176824.7818067445</v>
      </c>
    </row>
    <row r="40">
      <c r="A40" t="inlineStr">
        <is>
          <t>h-williams-5</t>
        </is>
      </c>
      <c r="B40" t="inlineStr">
        <is>
          <t>h-williams</t>
        </is>
      </c>
      <c r="C40" t="inlineStr">
        <is>
          <t>K. Williams</t>
        </is>
      </c>
      <c r="D40" t="inlineStr">
        <is>
          <t>Houston</t>
        </is>
      </c>
      <c r="E40" t="inlineStr">
        <is>
          <t>Mason &amp; Co.</t>
        </is>
      </c>
      <c r="F40" t="inlineStr">
        <is>
          <t>Other Fees</t>
        </is>
      </c>
      <c r="G40" t="inlineStr">
        <is>
          <t>Lead</t>
        </is>
      </c>
      <c r="H40" s="22" t="n">
        <v>22812.17204686254</v>
      </c>
      <c r="I40" s="24" t="n">
        <v>0.07636860217899084</v>
      </c>
      <c r="J40" t="n">
        <v>170</v>
      </c>
      <c r="K40" t="n">
        <v>178</v>
      </c>
      <c r="L40" s="28" t="n">
        <v>46383</v>
      </c>
      <c r="M40" s="22" t="n">
        <v>22812.17204686254</v>
      </c>
    </row>
    <row r="41">
      <c r="A41" t="inlineStr">
        <is>
          <t>h-williams-6</t>
        </is>
      </c>
      <c r="B41" t="inlineStr">
        <is>
          <t>h-williams</t>
        </is>
      </c>
      <c r="C41" t="inlineStr">
        <is>
          <t>K. Williams</t>
        </is>
      </c>
      <c r="D41" t="inlineStr">
        <is>
          <t>Houston</t>
        </is>
      </c>
      <c r="E41" t="inlineStr">
        <is>
          <t>Northstar Tech</t>
        </is>
      </c>
      <c r="F41" t="inlineStr">
        <is>
          <t>Commercial Loan</t>
        </is>
      </c>
      <c r="G41" t="inlineStr">
        <is>
          <t>Lead</t>
        </is>
      </c>
      <c r="H41" s="22" t="n">
        <v>7356362.0759712</v>
      </c>
      <c r="I41" s="24" t="n">
        <v>0.08739010654389859</v>
      </c>
      <c r="J41" t="n">
        <v>15</v>
      </c>
      <c r="K41" t="n">
        <v>44</v>
      </c>
      <c r="L41" s="28" t="n">
        <v>46377</v>
      </c>
      <c r="M41" s="22" t="n">
        <v>250116.3105830208</v>
      </c>
    </row>
    <row r="42">
      <c r="A42" t="inlineStr">
        <is>
          <t>d-chen-0</t>
        </is>
      </c>
      <c r="B42" t="inlineStr">
        <is>
          <t>d-chen</t>
        </is>
      </c>
      <c r="C42" t="inlineStr">
        <is>
          <t>R. Chen</t>
        </is>
      </c>
      <c r="D42" t="inlineStr">
        <is>
          <t>Dallas</t>
        </is>
      </c>
      <c r="E42" t="inlineStr">
        <is>
          <t>Redwood Construction</t>
        </is>
      </c>
      <c r="F42" t="inlineStr">
        <is>
          <t>Commercial Loan</t>
        </is>
      </c>
      <c r="G42" t="inlineStr">
        <is>
          <t>Commit</t>
        </is>
      </c>
      <c r="H42" s="22" t="n">
        <v>17680675.92568075</v>
      </c>
      <c r="I42" s="24" t="n">
        <v>0.7914347203681246</v>
      </c>
      <c r="J42" t="n">
        <v>61</v>
      </c>
      <c r="K42" t="n">
        <v>164</v>
      </c>
      <c r="L42" s="28" t="n">
        <v>46261</v>
      </c>
      <c r="M42" s="22" t="n">
        <v>601142.9814731455</v>
      </c>
    </row>
    <row r="43">
      <c r="A43" t="inlineStr">
        <is>
          <t>d-chen-1</t>
        </is>
      </c>
      <c r="B43" t="inlineStr">
        <is>
          <t>d-chen</t>
        </is>
      </c>
      <c r="C43" t="inlineStr">
        <is>
          <t>R. Chen</t>
        </is>
      </c>
      <c r="D43" t="inlineStr">
        <is>
          <t>Dallas</t>
        </is>
      </c>
      <c r="E43" t="inlineStr">
        <is>
          <t>Summit Hospitality</t>
        </is>
      </c>
      <c r="F43" t="inlineStr">
        <is>
          <t>Commercial Loan</t>
        </is>
      </c>
      <c r="G43" t="inlineStr">
        <is>
          <t>Proposal</t>
        </is>
      </c>
      <c r="H43" s="22" t="n">
        <v>2595942.769954097</v>
      </c>
      <c r="I43" s="24" t="n">
        <v>0.4502601069863886</v>
      </c>
      <c r="J43" t="n">
        <v>61</v>
      </c>
      <c r="K43" t="n">
        <v>149</v>
      </c>
      <c r="L43" s="28" t="n">
        <v>46307</v>
      </c>
      <c r="M43" s="22" t="n">
        <v>88262.0541784393</v>
      </c>
    </row>
    <row r="44">
      <c r="A44" t="inlineStr">
        <is>
          <t>d-chen-2</t>
        </is>
      </c>
      <c r="B44" t="inlineStr">
        <is>
          <t>d-chen</t>
        </is>
      </c>
      <c r="C44" t="inlineStr">
        <is>
          <t>R. Chen</t>
        </is>
      </c>
      <c r="D44" t="inlineStr">
        <is>
          <t>Dallas</t>
        </is>
      </c>
      <c r="E44" t="inlineStr">
        <is>
          <t>Trinity Pharma</t>
        </is>
      </c>
      <c r="F44" t="inlineStr">
        <is>
          <t>Commercial Loan</t>
        </is>
      </c>
      <c r="G44" t="inlineStr">
        <is>
          <t>Lead</t>
        </is>
      </c>
      <c r="H44" s="22" t="n">
        <v>10550099.40431889</v>
      </c>
      <c r="I44" s="24" t="n">
        <v>0.05078554216306657</v>
      </c>
      <c r="J44" t="n">
        <v>66</v>
      </c>
      <c r="K44" t="n">
        <v>69</v>
      </c>
      <c r="L44" s="28" t="n">
        <v>46352</v>
      </c>
      <c r="M44" s="22" t="n">
        <v>358703.3797468421</v>
      </c>
    </row>
    <row r="45">
      <c r="A45" t="inlineStr">
        <is>
          <t>d-chen-3</t>
        </is>
      </c>
      <c r="B45" t="inlineStr">
        <is>
          <t>d-chen</t>
        </is>
      </c>
      <c r="C45" t="inlineStr">
        <is>
          <t>R. Chen</t>
        </is>
      </c>
      <c r="D45" t="inlineStr">
        <is>
          <t>Dallas</t>
        </is>
      </c>
      <c r="E45" t="inlineStr">
        <is>
          <t>Union Distributors</t>
        </is>
      </c>
      <c r="F45" t="inlineStr">
        <is>
          <t>Deposits</t>
        </is>
      </c>
      <c r="G45" t="inlineStr">
        <is>
          <t>Qualified</t>
        </is>
      </c>
      <c r="H45" s="22" t="n">
        <v>1055220.27587674</v>
      </c>
      <c r="I45" s="24" t="n">
        <v>0.2275349261472002</v>
      </c>
      <c r="J45" t="n">
        <v>21</v>
      </c>
      <c r="K45" t="n">
        <v>60</v>
      </c>
      <c r="L45" s="28" t="n">
        <v>46337</v>
      </c>
      <c r="M45" s="22" t="n">
        <v>5276.101379383699</v>
      </c>
    </row>
    <row r="46">
      <c r="A46" t="inlineStr">
        <is>
          <t>d-chen-4</t>
        </is>
      </c>
      <c r="B46" t="inlineStr">
        <is>
          <t>d-chen</t>
        </is>
      </c>
      <c r="C46" t="inlineStr">
        <is>
          <t>R. Chen</t>
        </is>
      </c>
      <c r="D46" t="inlineStr">
        <is>
          <t>Dallas</t>
        </is>
      </c>
      <c r="E46" t="inlineStr">
        <is>
          <t>Vanguard Plastics</t>
        </is>
      </c>
      <c r="F46" t="inlineStr">
        <is>
          <t>Deposits</t>
        </is>
      </c>
      <c r="G46" t="inlineStr">
        <is>
          <t>Qualified</t>
        </is>
      </c>
      <c r="H46" s="22" t="n">
        <v>4639920.427160827</v>
      </c>
      <c r="I46" s="24" t="n">
        <v>0.2146454123780131</v>
      </c>
      <c r="J46" t="n">
        <v>77</v>
      </c>
      <c r="K46" t="n">
        <v>111</v>
      </c>
      <c r="L46" s="28" t="n">
        <v>46330</v>
      </c>
      <c r="M46" s="22" t="n">
        <v>23199.60213580414</v>
      </c>
    </row>
    <row r="47">
      <c r="A47" t="inlineStr">
        <is>
          <t>d-chen-5</t>
        </is>
      </c>
      <c r="B47" t="inlineStr">
        <is>
          <t>d-chen</t>
        </is>
      </c>
      <c r="C47" t="inlineStr">
        <is>
          <t>R. Chen</t>
        </is>
      </c>
      <c r="D47" t="inlineStr">
        <is>
          <t>Dallas</t>
        </is>
      </c>
      <c r="E47" t="inlineStr">
        <is>
          <t>Westfield Retail</t>
        </is>
      </c>
      <c r="F47" t="inlineStr">
        <is>
          <t>Commercial Loan</t>
        </is>
      </c>
      <c r="G47" t="inlineStr">
        <is>
          <t>Lead</t>
        </is>
      </c>
      <c r="H47" s="22" t="n">
        <v>1585817.668329033</v>
      </c>
      <c r="I47" s="24" t="n">
        <v>0.1178024622844532</v>
      </c>
      <c r="J47" t="n">
        <v>36</v>
      </c>
      <c r="K47" t="n">
        <v>54</v>
      </c>
      <c r="L47" s="28" t="n">
        <v>46331</v>
      </c>
      <c r="M47" s="22" t="n">
        <v>53917.80072318713</v>
      </c>
    </row>
    <row r="48">
      <c r="A48" t="inlineStr">
        <is>
          <t>d-chen-6</t>
        </is>
      </c>
      <c r="B48" t="inlineStr">
        <is>
          <t>d-chen</t>
        </is>
      </c>
      <c r="C48" t="inlineStr">
        <is>
          <t>R. Chen</t>
        </is>
      </c>
      <c r="D48" t="inlineStr">
        <is>
          <t>Dallas</t>
        </is>
      </c>
      <c r="E48" t="inlineStr">
        <is>
          <t>Xander Aviation</t>
        </is>
      </c>
      <c r="F48" t="inlineStr">
        <is>
          <t>Commercial Loan</t>
        </is>
      </c>
      <c r="G48" t="inlineStr">
        <is>
          <t>Lead</t>
        </is>
      </c>
      <c r="H48" s="22" t="n">
        <v>2728841.321948129</v>
      </c>
      <c r="I48" s="24" t="n">
        <v>0.1016851372784004</v>
      </c>
      <c r="J48" t="n">
        <v>21</v>
      </c>
      <c r="K48" t="n">
        <v>39</v>
      </c>
      <c r="L48" s="28" t="n">
        <v>46363</v>
      </c>
      <c r="M48" s="22" t="n">
        <v>92780.60494623639</v>
      </c>
    </row>
    <row r="49">
      <c r="A49" t="inlineStr">
        <is>
          <t>d-chen-7</t>
        </is>
      </c>
      <c r="B49" t="inlineStr">
        <is>
          <t>d-chen</t>
        </is>
      </c>
      <c r="C49" t="inlineStr">
        <is>
          <t>R. Chen</t>
        </is>
      </c>
      <c r="D49" t="inlineStr">
        <is>
          <t>Dallas</t>
        </is>
      </c>
      <c r="E49" t="inlineStr">
        <is>
          <t>Yellowstone Ranch</t>
        </is>
      </c>
      <c r="F49" t="inlineStr">
        <is>
          <t>Other Fees</t>
        </is>
      </c>
      <c r="G49" t="inlineStr">
        <is>
          <t>Proposal</t>
        </is>
      </c>
      <c r="H49" s="22" t="n">
        <v>24484.21892989427</v>
      </c>
      <c r="I49" s="24" t="n">
        <v>0.4725475380429998</v>
      </c>
      <c r="J49" t="n">
        <v>88</v>
      </c>
      <c r="K49" t="n">
        <v>166</v>
      </c>
      <c r="L49" s="28" t="n">
        <v>46270</v>
      </c>
      <c r="M49" s="22" t="n">
        <v>24484.21892989427</v>
      </c>
    </row>
    <row r="50">
      <c r="A50" t="inlineStr">
        <is>
          <t>d-chen-8</t>
        </is>
      </c>
      <c r="B50" t="inlineStr">
        <is>
          <t>d-chen</t>
        </is>
      </c>
      <c r="C50" t="inlineStr">
        <is>
          <t>R. Chen</t>
        </is>
      </c>
      <c r="D50" t="inlineStr">
        <is>
          <t>Dallas</t>
        </is>
      </c>
      <c r="E50" t="inlineStr">
        <is>
          <t>Zenith Software</t>
        </is>
      </c>
      <c r="F50" t="inlineStr">
        <is>
          <t>Deposits</t>
        </is>
      </c>
      <c r="G50" t="inlineStr">
        <is>
          <t>Lead</t>
        </is>
      </c>
      <c r="H50" s="22" t="n">
        <v>3267346.241428919</v>
      </c>
      <c r="I50" s="24" t="n">
        <v>0.1169860003283247</v>
      </c>
      <c r="J50" t="n">
        <v>41</v>
      </c>
      <c r="K50" t="n">
        <v>52</v>
      </c>
      <c r="L50" s="28" t="n">
        <v>46333</v>
      </c>
      <c r="M50" s="22" t="n">
        <v>16336.7312071446</v>
      </c>
    </row>
    <row r="51">
      <c r="A51" t="inlineStr">
        <is>
          <t>d-garcia-0</t>
        </is>
      </c>
      <c r="B51" t="inlineStr">
        <is>
          <t>d-garcia</t>
        </is>
      </c>
      <c r="C51" t="inlineStr">
        <is>
          <t>S. Garcia</t>
        </is>
      </c>
      <c r="D51" t="inlineStr">
        <is>
          <t>Dallas</t>
        </is>
      </c>
      <c r="E51" t="inlineStr">
        <is>
          <t>Union Distributors</t>
        </is>
      </c>
      <c r="F51" t="inlineStr">
        <is>
          <t>Other Fees</t>
        </is>
      </c>
      <c r="G51" t="inlineStr">
        <is>
          <t>Qualified</t>
        </is>
      </c>
      <c r="H51" s="22" t="n">
        <v>49498.91536682844</v>
      </c>
      <c r="I51" s="24" t="n">
        <v>0.2126898291520774</v>
      </c>
      <c r="J51" t="n">
        <v>122</v>
      </c>
      <c r="K51" t="n">
        <v>153</v>
      </c>
      <c r="L51" s="28" t="n">
        <v>46337</v>
      </c>
      <c r="M51" s="22" t="n">
        <v>49498.91536682844</v>
      </c>
    </row>
    <row r="52">
      <c r="A52" t="inlineStr">
        <is>
          <t>d-garcia-1</t>
        </is>
      </c>
      <c r="B52" t="inlineStr">
        <is>
          <t>d-garcia</t>
        </is>
      </c>
      <c r="C52" t="inlineStr">
        <is>
          <t>S. Garcia</t>
        </is>
      </c>
      <c r="D52" t="inlineStr">
        <is>
          <t>Dallas</t>
        </is>
      </c>
      <c r="E52" t="inlineStr">
        <is>
          <t>Vanguard Plastics</t>
        </is>
      </c>
      <c r="F52" t="inlineStr">
        <is>
          <t>Treasury Management</t>
        </is>
      </c>
      <c r="G52" t="inlineStr">
        <is>
          <t>Lead</t>
        </is>
      </c>
      <c r="H52" s="22" t="n">
        <v>117786.3305620849</v>
      </c>
      <c r="I52" s="24" t="n">
        <v>0.1337733029155061</v>
      </c>
      <c r="J52" t="n">
        <v>60</v>
      </c>
      <c r="K52" t="n">
        <v>62</v>
      </c>
      <c r="L52" s="28" t="n">
        <v>46376</v>
      </c>
      <c r="M52" s="22" t="n">
        <v>117786.3305620849</v>
      </c>
    </row>
    <row r="53">
      <c r="A53" t="inlineStr">
        <is>
          <t>d-garcia-3</t>
        </is>
      </c>
      <c r="B53" t="inlineStr">
        <is>
          <t>d-garcia</t>
        </is>
      </c>
      <c r="C53" t="inlineStr">
        <is>
          <t>S. Garcia</t>
        </is>
      </c>
      <c r="D53" t="inlineStr">
        <is>
          <t>Dallas</t>
        </is>
      </c>
      <c r="E53" t="inlineStr">
        <is>
          <t>Xander Aviation</t>
        </is>
      </c>
      <c r="F53" t="inlineStr">
        <is>
          <t>Other Fees</t>
        </is>
      </c>
      <c r="G53" t="inlineStr">
        <is>
          <t>Lead</t>
        </is>
      </c>
      <c r="H53" s="22" t="n">
        <v>40457.6849527657</v>
      </c>
      <c r="I53" s="24" t="n">
        <v>0.1036187778459862</v>
      </c>
      <c r="J53" t="n">
        <v>68</v>
      </c>
      <c r="K53" t="n">
        <v>85</v>
      </c>
      <c r="L53" s="28" t="n">
        <v>46383</v>
      </c>
      <c r="M53" s="22" t="n">
        <v>40457.6849527657</v>
      </c>
    </row>
    <row r="54">
      <c r="A54" t="inlineStr">
        <is>
          <t>d-garcia-4</t>
        </is>
      </c>
      <c r="B54" t="inlineStr">
        <is>
          <t>d-garcia</t>
        </is>
      </c>
      <c r="C54" t="inlineStr">
        <is>
          <t>S. Garcia</t>
        </is>
      </c>
      <c r="D54" t="inlineStr">
        <is>
          <t>Dallas</t>
        </is>
      </c>
      <c r="E54" t="inlineStr">
        <is>
          <t>Yellowstone Ranch</t>
        </is>
      </c>
      <c r="F54" t="inlineStr">
        <is>
          <t>Commercial Loan</t>
        </is>
      </c>
      <c r="G54" t="inlineStr">
        <is>
          <t>Qualified</t>
        </is>
      </c>
      <c r="H54" s="22" t="n">
        <v>2322589.74082558</v>
      </c>
      <c r="I54" s="24" t="n">
        <v>0.2113584332866594</v>
      </c>
      <c r="J54" t="n">
        <v>125</v>
      </c>
      <c r="K54" t="n">
        <v>162</v>
      </c>
      <c r="L54" s="28" t="n">
        <v>46343</v>
      </c>
      <c r="M54" s="22" t="n">
        <v>78968.05118806972</v>
      </c>
    </row>
    <row r="55">
      <c r="A55" t="inlineStr">
        <is>
          <t>d-garcia-5</t>
        </is>
      </c>
      <c r="B55" t="inlineStr">
        <is>
          <t>d-garcia</t>
        </is>
      </c>
      <c r="C55" t="inlineStr">
        <is>
          <t>S. Garcia</t>
        </is>
      </c>
      <c r="D55" t="inlineStr">
        <is>
          <t>Dallas</t>
        </is>
      </c>
      <c r="E55" t="inlineStr">
        <is>
          <t>Zenith Software</t>
        </is>
      </c>
      <c r="F55" t="inlineStr">
        <is>
          <t>Deposits</t>
        </is>
      </c>
      <c r="G55" t="inlineStr">
        <is>
          <t>Proposal</t>
        </is>
      </c>
      <c r="H55" s="22" t="n">
        <v>5664478.31131048</v>
      </c>
      <c r="I55" s="24" t="n">
        <v>0.5112307148054243</v>
      </c>
      <c r="J55" t="n">
        <v>52</v>
      </c>
      <c r="K55" t="n">
        <v>130</v>
      </c>
      <c r="L55" s="28" t="n">
        <v>46299</v>
      </c>
      <c r="M55" s="22" t="n">
        <v>28322.3915565524</v>
      </c>
    </row>
    <row r="56">
      <c r="A56" t="inlineStr">
        <is>
          <t>d-garcia-6</t>
        </is>
      </c>
      <c r="B56" t="inlineStr">
        <is>
          <t>d-garcia</t>
        </is>
      </c>
      <c r="C56" t="inlineStr">
        <is>
          <t>S. Garcia</t>
        </is>
      </c>
      <c r="D56" t="inlineStr">
        <is>
          <t>Dallas</t>
        </is>
      </c>
      <c r="E56" t="inlineStr">
        <is>
          <t>Alamo Equipment</t>
        </is>
      </c>
      <c r="F56" t="inlineStr">
        <is>
          <t>Treasury Management</t>
        </is>
      </c>
      <c r="G56" t="inlineStr">
        <is>
          <t>Commit</t>
        </is>
      </c>
      <c r="H56" s="22" t="n">
        <v>250208.9275675826</v>
      </c>
      <c r="I56" s="24" t="n">
        <v>0.8487580192741007</v>
      </c>
      <c r="J56" t="n">
        <v>72</v>
      </c>
      <c r="K56" t="n">
        <v>173</v>
      </c>
      <c r="L56" s="28" t="n">
        <v>46269</v>
      </c>
      <c r="M56" s="22" t="n">
        <v>250208.9275675826</v>
      </c>
    </row>
    <row r="57">
      <c r="A57" t="inlineStr">
        <is>
          <t>d-foster-0</t>
        </is>
      </c>
      <c r="B57" t="inlineStr">
        <is>
          <t>d-foster</t>
        </is>
      </c>
      <c r="C57" t="inlineStr">
        <is>
          <t>B. Foster</t>
        </is>
      </c>
      <c r="D57" t="inlineStr">
        <is>
          <t>Dallas</t>
        </is>
      </c>
      <c r="E57" t="inlineStr">
        <is>
          <t>Evergreen Realty</t>
        </is>
      </c>
      <c r="F57" t="inlineStr">
        <is>
          <t>Deposits</t>
        </is>
      </c>
      <c r="G57" t="inlineStr">
        <is>
          <t>Qualified</t>
        </is>
      </c>
      <c r="H57" s="22" t="n">
        <v>4276478.29315799</v>
      </c>
      <c r="I57" s="24" t="n">
        <v>0.2007534463424236</v>
      </c>
      <c r="J57" t="n">
        <v>74</v>
      </c>
      <c r="K57" t="n">
        <v>116</v>
      </c>
      <c r="L57" s="28" t="n">
        <v>46339</v>
      </c>
      <c r="M57" s="22" t="n">
        <v>21382.39146578995</v>
      </c>
    </row>
    <row r="58">
      <c r="A58" t="inlineStr">
        <is>
          <t>d-foster-1</t>
        </is>
      </c>
      <c r="B58" t="inlineStr">
        <is>
          <t>d-foster</t>
        </is>
      </c>
      <c r="C58" t="inlineStr">
        <is>
          <t>B. Foster</t>
        </is>
      </c>
      <c r="D58" t="inlineStr">
        <is>
          <t>Dallas</t>
        </is>
      </c>
      <c r="E58" t="inlineStr">
        <is>
          <t>Fairfield Energy</t>
        </is>
      </c>
      <c r="F58" t="inlineStr">
        <is>
          <t>Other Fees</t>
        </is>
      </c>
      <c r="G58" t="inlineStr">
        <is>
          <t>Commit</t>
        </is>
      </c>
      <c r="H58" s="22" t="n">
        <v>71443.87836195529</v>
      </c>
      <c r="I58" s="24" t="n">
        <v>0.8062200189800933</v>
      </c>
      <c r="J58" t="n">
        <v>47</v>
      </c>
      <c r="K58" t="n">
        <v>166</v>
      </c>
      <c r="L58" s="28" t="n">
        <v>46285</v>
      </c>
      <c r="M58" s="22" t="n">
        <v>71443.87836195529</v>
      </c>
    </row>
    <row r="59">
      <c r="A59" t="inlineStr">
        <is>
          <t>d-foster-2</t>
        </is>
      </c>
      <c r="B59" t="inlineStr">
        <is>
          <t>d-foster</t>
        </is>
      </c>
      <c r="C59" t="inlineStr">
        <is>
          <t>B. Foster</t>
        </is>
      </c>
      <c r="D59" t="inlineStr">
        <is>
          <t>Dallas</t>
        </is>
      </c>
      <c r="E59" t="inlineStr">
        <is>
          <t>Galleon Logistics</t>
        </is>
      </c>
      <c r="F59" t="inlineStr">
        <is>
          <t>Commercial Loan</t>
        </is>
      </c>
      <c r="G59" t="inlineStr">
        <is>
          <t>Proposal</t>
        </is>
      </c>
      <c r="H59" s="22" t="n">
        <v>3318345.965485991</v>
      </c>
      <c r="I59" s="24" t="n">
        <v>0.5425157238496467</v>
      </c>
      <c r="J59" t="n">
        <v>45</v>
      </c>
      <c r="K59" t="n">
        <v>120</v>
      </c>
      <c r="L59" s="28" t="n">
        <v>46302</v>
      </c>
      <c r="M59" s="22" t="n">
        <v>112823.7628265237</v>
      </c>
    </row>
    <row r="60">
      <c r="A60" t="inlineStr">
        <is>
          <t>d-foster-3</t>
        </is>
      </c>
      <c r="B60" t="inlineStr">
        <is>
          <t>d-foster</t>
        </is>
      </c>
      <c r="C60" t="inlineStr">
        <is>
          <t>B. Foster</t>
        </is>
      </c>
      <c r="D60" t="inlineStr">
        <is>
          <t>Dallas</t>
        </is>
      </c>
      <c r="E60" t="inlineStr">
        <is>
          <t>Harbor Partners</t>
        </is>
      </c>
      <c r="F60" t="inlineStr">
        <is>
          <t>Deposits</t>
        </is>
      </c>
      <c r="G60" t="inlineStr">
        <is>
          <t>Lead</t>
        </is>
      </c>
      <c r="H60" s="22" t="n">
        <v>942755.345560251</v>
      </c>
      <c r="I60" s="24" t="n">
        <v>0.05744011739734561</v>
      </c>
      <c r="J60" t="n">
        <v>85</v>
      </c>
      <c r="K60" t="n">
        <v>114</v>
      </c>
      <c r="L60" s="28" t="n">
        <v>46337</v>
      </c>
      <c r="M60" s="22" t="n">
        <v>4713.776727801255</v>
      </c>
    </row>
    <row r="61">
      <c r="A61" t="inlineStr">
        <is>
          <t>d-foster-4</t>
        </is>
      </c>
      <c r="B61" t="inlineStr">
        <is>
          <t>d-foster</t>
        </is>
      </c>
      <c r="C61" t="inlineStr">
        <is>
          <t>B. Foster</t>
        </is>
      </c>
      <c r="D61" t="inlineStr">
        <is>
          <t>Dallas</t>
        </is>
      </c>
      <c r="E61" t="inlineStr">
        <is>
          <t>Ironwood Capital</t>
        </is>
      </c>
      <c r="F61" t="inlineStr">
        <is>
          <t>Deposits</t>
        </is>
      </c>
      <c r="G61" t="inlineStr">
        <is>
          <t>Qualified</t>
        </is>
      </c>
      <c r="H61" s="22" t="n">
        <v>907319.7614169855</v>
      </c>
      <c r="I61" s="24" t="n">
        <v>0.2668854956049472</v>
      </c>
      <c r="J61" t="n">
        <v>34</v>
      </c>
      <c r="K61" t="n">
        <v>89</v>
      </c>
      <c r="L61" s="28" t="n">
        <v>46314</v>
      </c>
      <c r="M61" s="22" t="n">
        <v>4536.598807084928</v>
      </c>
    </row>
    <row r="62">
      <c r="A62" t="inlineStr">
        <is>
          <t>d-foster-5</t>
        </is>
      </c>
      <c r="B62" t="inlineStr">
        <is>
          <t>d-foster</t>
        </is>
      </c>
      <c r="C62" t="inlineStr">
        <is>
          <t>B. Foster</t>
        </is>
      </c>
      <c r="D62" t="inlineStr">
        <is>
          <t>Dallas</t>
        </is>
      </c>
      <c r="E62" t="inlineStr">
        <is>
          <t>Juniper Foods</t>
        </is>
      </c>
      <c r="F62" t="inlineStr">
        <is>
          <t>Commercial Loan</t>
        </is>
      </c>
      <c r="G62" t="inlineStr">
        <is>
          <t>Qualified</t>
        </is>
      </c>
      <c r="H62" s="22" t="n">
        <v>14970368.88859432</v>
      </c>
      <c r="I62" s="24" t="n">
        <v>0.2906545835547149</v>
      </c>
      <c r="J62" t="n">
        <v>35</v>
      </c>
      <c r="K62" t="n">
        <v>91</v>
      </c>
      <c r="L62" s="28" t="n">
        <v>46312</v>
      </c>
      <c r="M62" s="22" t="n">
        <v>508992.5422122069</v>
      </c>
    </row>
    <row r="63">
      <c r="A63" t="inlineStr">
        <is>
          <t>d-foster-6</t>
        </is>
      </c>
      <c r="B63" t="inlineStr">
        <is>
          <t>d-foster</t>
        </is>
      </c>
      <c r="C63" t="inlineStr">
        <is>
          <t>B. Foster</t>
        </is>
      </c>
      <c r="D63" t="inlineStr">
        <is>
          <t>Dallas</t>
        </is>
      </c>
      <c r="E63" t="inlineStr">
        <is>
          <t>Keystone Steel</t>
        </is>
      </c>
      <c r="F63" t="inlineStr">
        <is>
          <t>Deposits</t>
        </is>
      </c>
      <c r="G63" t="inlineStr">
        <is>
          <t>Proposal</t>
        </is>
      </c>
      <c r="H63" s="22" t="n">
        <v>7146028.967720101</v>
      </c>
      <c r="I63" s="24" t="n">
        <v>0.4834363743895665</v>
      </c>
      <c r="J63" t="n">
        <v>68</v>
      </c>
      <c r="K63" t="n">
        <v>144</v>
      </c>
      <c r="L63" s="28" t="n">
        <v>46304</v>
      </c>
      <c r="M63" s="22" t="n">
        <v>35730.14483860051</v>
      </c>
    </row>
    <row r="64">
      <c r="A64" t="inlineStr">
        <is>
          <t>d-foster-8</t>
        </is>
      </c>
      <c r="B64" t="inlineStr">
        <is>
          <t>d-foster</t>
        </is>
      </c>
      <c r="C64" t="inlineStr">
        <is>
          <t>B. Foster</t>
        </is>
      </c>
      <c r="D64" t="inlineStr">
        <is>
          <t>Dallas</t>
        </is>
      </c>
      <c r="E64" t="inlineStr">
        <is>
          <t>Mason &amp; Co.</t>
        </is>
      </c>
      <c r="F64" t="inlineStr">
        <is>
          <t>Commercial Loan</t>
        </is>
      </c>
      <c r="G64" t="inlineStr">
        <is>
          <t>Proposal</t>
        </is>
      </c>
      <c r="H64" s="22" t="n">
        <v>3839311.458209848</v>
      </c>
      <c r="I64" s="24" t="n">
        <v>0.4668406221084297</v>
      </c>
      <c r="J64" t="n">
        <v>22</v>
      </c>
      <c r="K64" t="n">
        <v>103</v>
      </c>
      <c r="L64" s="28" t="n">
        <v>46279</v>
      </c>
      <c r="M64" s="22" t="n">
        <v>130536.5895791348</v>
      </c>
    </row>
    <row r="65">
      <c r="A65" t="inlineStr">
        <is>
          <t>d-foster-9</t>
        </is>
      </c>
      <c r="B65" t="inlineStr">
        <is>
          <t>d-foster</t>
        </is>
      </c>
      <c r="C65" t="inlineStr">
        <is>
          <t>B. Foster</t>
        </is>
      </c>
      <c r="D65" t="inlineStr">
        <is>
          <t>Dallas</t>
        </is>
      </c>
      <c r="E65" t="inlineStr">
        <is>
          <t>Northstar Tech</t>
        </is>
      </c>
      <c r="F65" t="inlineStr">
        <is>
          <t>Commercial Loan</t>
        </is>
      </c>
      <c r="G65" t="inlineStr">
        <is>
          <t>Proposal</t>
        </is>
      </c>
      <c r="H65" s="22" t="n">
        <v>18165595.85678502</v>
      </c>
      <c r="I65" s="24" t="n">
        <v>0.5008736290503293</v>
      </c>
      <c r="J65" t="n">
        <v>40</v>
      </c>
      <c r="K65" t="n">
        <v>112</v>
      </c>
      <c r="L65" s="28" t="n">
        <v>46301</v>
      </c>
      <c r="M65" s="22" t="n">
        <v>617630.2591306907</v>
      </c>
    </row>
    <row r="66">
      <c r="A66" t="inlineStr">
        <is>
          <t>d-foster-10</t>
        </is>
      </c>
      <c r="B66" t="inlineStr">
        <is>
          <t>d-foster</t>
        </is>
      </c>
      <c r="C66" t="inlineStr">
        <is>
          <t>B. Foster</t>
        </is>
      </c>
      <c r="D66" t="inlineStr">
        <is>
          <t>Dallas</t>
        </is>
      </c>
      <c r="E66" t="inlineStr">
        <is>
          <t>Xander Aviation</t>
        </is>
      </c>
      <c r="F66" t="inlineStr">
        <is>
          <t>Treasury Management</t>
        </is>
      </c>
      <c r="G66" t="inlineStr">
        <is>
          <t>Lead</t>
        </is>
      </c>
      <c r="H66" s="22" t="n">
        <v>101352.1653111093</v>
      </c>
      <c r="I66" s="24" t="n">
        <v>0.07092865982558579</v>
      </c>
      <c r="J66" t="n">
        <v>50</v>
      </c>
      <c r="K66" t="n">
        <v>52</v>
      </c>
      <c r="L66" s="28" t="n">
        <v>46354</v>
      </c>
      <c r="M66" s="22" t="n">
        <v>101352.1653111093</v>
      </c>
    </row>
    <row r="67">
      <c r="A67" t="inlineStr">
        <is>
          <t>d-foster-11</t>
        </is>
      </c>
      <c r="B67" t="inlineStr">
        <is>
          <t>d-foster</t>
        </is>
      </c>
      <c r="C67" t="inlineStr">
        <is>
          <t>B. Foster</t>
        </is>
      </c>
      <c r="D67" t="inlineStr">
        <is>
          <t>Dallas</t>
        </is>
      </c>
      <c r="E67" t="inlineStr">
        <is>
          <t>Yellowstone Ranch</t>
        </is>
      </c>
      <c r="F67" t="inlineStr">
        <is>
          <t>Other Fees</t>
        </is>
      </c>
      <c r="G67" t="inlineStr">
        <is>
          <t>Lead</t>
        </is>
      </c>
      <c r="H67" s="22" t="n">
        <v>4379.972573369741</v>
      </c>
      <c r="I67" s="24" t="n">
        <v>0.08016256107948722</v>
      </c>
      <c r="J67" t="n">
        <v>83</v>
      </c>
      <c r="K67" t="n">
        <v>106</v>
      </c>
      <c r="L67" s="28" t="n">
        <v>46354</v>
      </c>
      <c r="M67" s="22" t="n">
        <v>4379.972573369741</v>
      </c>
    </row>
    <row r="68">
      <c r="A68" t="inlineStr">
        <is>
          <t>d-foster-12</t>
        </is>
      </c>
      <c r="B68" t="inlineStr">
        <is>
          <t>d-foster</t>
        </is>
      </c>
      <c r="C68" t="inlineStr">
        <is>
          <t>B. Foster</t>
        </is>
      </c>
      <c r="D68" t="inlineStr">
        <is>
          <t>Dallas</t>
        </is>
      </c>
      <c r="E68" t="inlineStr">
        <is>
          <t>Zenith Software</t>
        </is>
      </c>
      <c r="F68" t="inlineStr">
        <is>
          <t>Commercial Loan</t>
        </is>
      </c>
      <c r="G68" t="inlineStr">
        <is>
          <t>Commit</t>
        </is>
      </c>
      <c r="H68" s="22" t="n">
        <v>9360282.948381759</v>
      </c>
      <c r="I68" s="24" t="n">
        <v>0.7510369416559115</v>
      </c>
      <c r="J68" t="n">
        <v>43</v>
      </c>
      <c r="K68" t="n">
        <v>139</v>
      </c>
      <c r="L68" s="28" t="n">
        <v>46247</v>
      </c>
      <c r="M68" s="22" t="n">
        <v>318249.6202449799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0" customWidth="1" min="4" max="4"/>
    <col width="20" customWidth="1" min="5" max="5"/>
    <col width="18" customWidth="1" min="6" max="6"/>
    <col width="12" customWidth="1" min="7" max="7"/>
    <col width="14" customWidth="1" min="8" max="8"/>
    <col width="12" customWidth="1" min="9" max="9"/>
    <col width="14" customWidth="1" min="10" max="10"/>
    <col width="12" customWidth="1" min="11" max="11"/>
    <col width="14" customWidth="1" min="12" max="12"/>
    <col width="16" customWidth="1" min="13" max="13"/>
  </cols>
  <sheetData>
    <row r="1">
      <c r="A1" s="29" t="inlineStr">
        <is>
          <t>Deal ID</t>
        </is>
      </c>
      <c r="B1" s="29" t="inlineStr">
        <is>
          <t>Officer ID</t>
        </is>
      </c>
      <c r="C1" s="29" t="inlineStr">
        <is>
          <t>Officer Name</t>
        </is>
      </c>
      <c r="D1" s="29" t="inlineStr">
        <is>
          <t>Market</t>
        </is>
      </c>
      <c r="E1" s="29" t="inlineStr">
        <is>
          <t>Customer</t>
        </is>
      </c>
      <c r="F1" s="29" t="inlineStr">
        <is>
          <t>Product</t>
        </is>
      </c>
      <c r="G1" s="29" t="inlineStr">
        <is>
          <t>Stage</t>
        </is>
      </c>
      <c r="H1" s="29" t="inlineStr">
        <is>
          <t>Amount</t>
        </is>
      </c>
      <c r="I1" s="29" t="inlineStr">
        <is>
          <t>Probability</t>
        </is>
      </c>
      <c r="J1" s="29" t="inlineStr">
        <is>
          <t>Days in Stage</t>
        </is>
      </c>
      <c r="K1" s="29" t="inlineStr">
        <is>
          <t>Age (Days)</t>
        </is>
      </c>
      <c r="L1" s="29" t="inlineStr">
        <is>
          <t>Close Date</t>
        </is>
      </c>
      <c r="M1" s="29" t="inlineStr">
        <is>
          <t>Annual Revenue</t>
        </is>
      </c>
    </row>
    <row r="2">
      <c r="A2" t="inlineStr">
        <is>
          <t>h-reyes-1</t>
        </is>
      </c>
      <c r="B2" t="inlineStr">
        <is>
          <t>h-reyes</t>
        </is>
      </c>
      <c r="C2" t="inlineStr">
        <is>
          <t>M. Reyes</t>
        </is>
      </c>
      <c r="D2" t="inlineStr">
        <is>
          <t>Houston</t>
        </is>
      </c>
      <c r="E2" t="inlineStr">
        <is>
          <t>Oakridge Auto</t>
        </is>
      </c>
      <c r="F2" t="inlineStr">
        <is>
          <t>Treasury Management</t>
        </is>
      </c>
      <c r="G2" t="inlineStr">
        <is>
          <t>Closed</t>
        </is>
      </c>
      <c r="H2" s="22" t="n">
        <v>56255.37604326382</v>
      </c>
      <c r="I2" s="24" t="n">
        <v>1</v>
      </c>
      <c r="J2" t="n">
        <v>58</v>
      </c>
      <c r="K2" t="n">
        <v>203</v>
      </c>
      <c r="L2" s="28" t="n">
        <v>46210</v>
      </c>
      <c r="M2" s="22" t="n">
        <v>56255.37604326382</v>
      </c>
    </row>
    <row r="3">
      <c r="A3" t="inlineStr">
        <is>
          <t>h-reyes-3</t>
        </is>
      </c>
      <c r="B3" t="inlineStr">
        <is>
          <t>h-reyes</t>
        </is>
      </c>
      <c r="C3" t="inlineStr">
        <is>
          <t>M. Reyes</t>
        </is>
      </c>
      <c r="D3" t="inlineStr">
        <is>
          <t>Houston</t>
        </is>
      </c>
      <c r="E3" t="inlineStr">
        <is>
          <t>Quartz Mining</t>
        </is>
      </c>
      <c r="F3" t="inlineStr">
        <is>
          <t>Deposits</t>
        </is>
      </c>
      <c r="G3" t="inlineStr">
        <is>
          <t>Closed</t>
        </is>
      </c>
      <c r="H3" s="22" t="n">
        <v>779213.0107978485</v>
      </c>
      <c r="I3" s="24" t="n">
        <v>1</v>
      </c>
      <c r="J3" t="n">
        <v>16</v>
      </c>
      <c r="K3" t="n">
        <v>160</v>
      </c>
      <c r="L3" s="28" t="n">
        <v>46231</v>
      </c>
      <c r="M3" s="22" t="n">
        <v>3896.065053989242</v>
      </c>
    </row>
    <row r="4">
      <c r="A4" t="inlineStr">
        <is>
          <t>h-reyes-12</t>
        </is>
      </c>
      <c r="B4" t="inlineStr">
        <is>
          <t>h-reyes</t>
        </is>
      </c>
      <c r="C4" t="inlineStr">
        <is>
          <t>M. Reyes</t>
        </is>
      </c>
      <c r="D4" t="inlineStr">
        <is>
          <t>Houston</t>
        </is>
      </c>
      <c r="E4" t="inlineStr">
        <is>
          <t>Alamo Equipment</t>
        </is>
      </c>
      <c r="F4" t="inlineStr">
        <is>
          <t>Commercial Loan</t>
        </is>
      </c>
      <c r="G4" t="inlineStr">
        <is>
          <t>Closed</t>
        </is>
      </c>
      <c r="H4" s="22" t="n">
        <v>815121.374427569</v>
      </c>
      <c r="I4" s="24" t="n">
        <v>1</v>
      </c>
      <c r="J4" t="n">
        <v>37</v>
      </c>
      <c r="K4" t="n">
        <v>185</v>
      </c>
      <c r="L4" s="28" t="n">
        <v>46242</v>
      </c>
      <c r="M4" s="22" t="n">
        <v>27714.12673053735</v>
      </c>
    </row>
    <row r="5">
      <c r="A5" t="inlineStr">
        <is>
          <t>h-patel-8</t>
        </is>
      </c>
      <c r="B5" t="inlineStr">
        <is>
          <t>h-patel</t>
        </is>
      </c>
      <c r="C5" t="inlineStr">
        <is>
          <t>D. Patel</t>
        </is>
      </c>
      <c r="D5" t="inlineStr">
        <is>
          <t>Houston</t>
        </is>
      </c>
      <c r="E5" t="inlineStr">
        <is>
          <t>Delta Manufacturing</t>
        </is>
      </c>
      <c r="F5" t="inlineStr">
        <is>
          <t>Commercial Loan</t>
        </is>
      </c>
      <c r="G5" t="inlineStr">
        <is>
          <t>Closed</t>
        </is>
      </c>
      <c r="H5" s="22" t="n">
        <v>670519.5689699659</v>
      </c>
      <c r="I5" s="24" t="n">
        <v>1</v>
      </c>
      <c r="J5" t="n">
        <v>11</v>
      </c>
      <c r="K5" t="n">
        <v>148</v>
      </c>
      <c r="L5" s="28" t="n">
        <v>46216</v>
      </c>
      <c r="M5" s="22" t="n">
        <v>22797.66534497884</v>
      </c>
    </row>
    <row r="6">
      <c r="A6" t="inlineStr">
        <is>
          <t>h-patel-13</t>
        </is>
      </c>
      <c r="B6" t="inlineStr">
        <is>
          <t>h-patel</t>
        </is>
      </c>
      <c r="C6" t="inlineStr">
        <is>
          <t>D. Patel</t>
        </is>
      </c>
      <c r="D6" t="inlineStr">
        <is>
          <t>Houston</t>
        </is>
      </c>
      <c r="E6" t="inlineStr">
        <is>
          <t>Juniper Foods</t>
        </is>
      </c>
      <c r="F6" t="inlineStr">
        <is>
          <t>Commercial Loan</t>
        </is>
      </c>
      <c r="G6" t="inlineStr">
        <is>
          <t>Closed</t>
        </is>
      </c>
      <c r="H6" s="22" t="n">
        <v>1212020.724125432</v>
      </c>
      <c r="I6" s="24" t="n">
        <v>1</v>
      </c>
      <c r="J6" t="n">
        <v>34</v>
      </c>
      <c r="K6" t="n">
        <v>154</v>
      </c>
      <c r="L6" s="28" t="n">
        <v>46229</v>
      </c>
      <c r="M6" s="22" t="n">
        <v>41208.70462026469</v>
      </c>
    </row>
    <row r="7">
      <c r="A7" t="inlineStr">
        <is>
          <t>h-tran-7</t>
        </is>
      </c>
      <c r="B7" t="inlineStr">
        <is>
          <t>h-tran</t>
        </is>
      </c>
      <c r="C7" t="inlineStr">
        <is>
          <t>A. Tran</t>
        </is>
      </c>
      <c r="D7" t="inlineStr">
        <is>
          <t>Houston</t>
        </is>
      </c>
      <c r="E7" t="inlineStr">
        <is>
          <t>Fairfield Energy</t>
        </is>
      </c>
      <c r="F7" t="inlineStr">
        <is>
          <t>Deposits</t>
        </is>
      </c>
      <c r="G7" t="inlineStr">
        <is>
          <t>Closed</t>
        </is>
      </c>
      <c r="H7" s="22" t="n">
        <v>713863.4488536143</v>
      </c>
      <c r="I7" s="24" t="n">
        <v>1</v>
      </c>
      <c r="J7" t="n">
        <v>39</v>
      </c>
      <c r="K7" t="n">
        <v>168</v>
      </c>
      <c r="L7" s="28" t="n">
        <v>46228</v>
      </c>
      <c r="M7" s="22" t="n">
        <v>3569.317244268072</v>
      </c>
    </row>
    <row r="8">
      <c r="A8" t="inlineStr">
        <is>
          <t>d-garcia-2</t>
        </is>
      </c>
      <c r="B8" t="inlineStr">
        <is>
          <t>d-garcia</t>
        </is>
      </c>
      <c r="C8" t="inlineStr">
        <is>
          <t>S. Garcia</t>
        </is>
      </c>
      <c r="D8" t="inlineStr">
        <is>
          <t>Dallas</t>
        </is>
      </c>
      <c r="E8" t="inlineStr">
        <is>
          <t>Westfield Retail</t>
        </is>
      </c>
      <c r="F8" t="inlineStr">
        <is>
          <t>Commercial Loan</t>
        </is>
      </c>
      <c r="G8" t="inlineStr">
        <is>
          <t>Closed</t>
        </is>
      </c>
      <c r="H8" s="22" t="n">
        <v>3693911.729961888</v>
      </c>
      <c r="I8" s="24" t="n">
        <v>1</v>
      </c>
      <c r="J8" t="n">
        <v>105</v>
      </c>
      <c r="K8" t="n">
        <v>231</v>
      </c>
      <c r="L8" s="28" t="n">
        <v>46213</v>
      </c>
      <c r="M8" s="22" t="n">
        <v>125592.9988187042</v>
      </c>
    </row>
    <row r="9">
      <c r="A9" t="inlineStr">
        <is>
          <t>d-foster-7</t>
        </is>
      </c>
      <c r="B9" t="inlineStr">
        <is>
          <t>d-foster</t>
        </is>
      </c>
      <c r="C9" t="inlineStr">
        <is>
          <t>B. Foster</t>
        </is>
      </c>
      <c r="D9" t="inlineStr">
        <is>
          <t>Dallas</t>
        </is>
      </c>
      <c r="E9" t="inlineStr">
        <is>
          <t>Lakeside Medical</t>
        </is>
      </c>
      <c r="F9" t="inlineStr">
        <is>
          <t>Treasury Management</t>
        </is>
      </c>
      <c r="G9" t="inlineStr">
        <is>
          <t>Closed</t>
        </is>
      </c>
      <c r="H9" s="22" t="n">
        <v>36610.27967231348</v>
      </c>
      <c r="I9" s="24" t="n">
        <v>1</v>
      </c>
      <c r="J9" t="n">
        <v>14</v>
      </c>
      <c r="K9" t="n">
        <v>138</v>
      </c>
      <c r="L9" s="28" t="n">
        <v>46240</v>
      </c>
      <c r="M9" s="22" t="n">
        <v>36610.27967231348</v>
      </c>
    </row>
    <row r="10">
      <c r="A10" t="inlineStr">
        <is>
          <t>d-foster-13</t>
        </is>
      </c>
      <c r="B10" t="inlineStr">
        <is>
          <t>d-foster</t>
        </is>
      </c>
      <c r="C10" t="inlineStr">
        <is>
          <t>B. Foster</t>
        </is>
      </c>
      <c r="D10" t="inlineStr">
        <is>
          <t>Dallas</t>
        </is>
      </c>
      <c r="E10" t="inlineStr">
        <is>
          <t>Alamo Equipment</t>
        </is>
      </c>
      <c r="F10" t="inlineStr">
        <is>
          <t>Deposits</t>
        </is>
      </c>
      <c r="G10" t="inlineStr">
        <is>
          <t>Closed</t>
        </is>
      </c>
      <c r="H10" s="22" t="n">
        <v>1565237.544021653</v>
      </c>
      <c r="I10" s="24" t="n">
        <v>1</v>
      </c>
      <c r="J10" t="n">
        <v>55</v>
      </c>
      <c r="K10" t="n">
        <v>195</v>
      </c>
      <c r="L10" s="28" t="n">
        <v>46224</v>
      </c>
      <c r="M10" s="22" t="n">
        <v>7826.187720108268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RM Pipeline Template</t>
        </is>
      </c>
    </row>
    <row r="3" ht="8" customHeight="1">
      <c r="A3" s="2" t="inlineStr"/>
      <c r="B3" s="3" t="inlineStr"/>
    </row>
    <row r="4" ht="30" customHeight="1">
      <c r="A4" s="2" t="inlineStr">
        <is>
          <t>How to use</t>
        </is>
      </c>
      <c r="B4" s="3" t="inlineStr">
        <is>
          <t>Each RM has their own tab (named with your initial + last name). Fill in only your tab. Submit the workbook when ready and the dashboard will refresh.</t>
        </is>
      </c>
    </row>
    <row r="5" ht="30" customHeight="1">
      <c r="A5" s="2" t="inlineStr">
        <is>
          <t>Tabs</t>
        </is>
      </c>
      <c r="B5" s="3" t="inlineStr">
        <is>
          <t>README · Summary (auto-calculated rollup) · one tab per RM. Lookup is hidden — leave it alone.</t>
        </is>
      </c>
    </row>
    <row r="6" ht="8" customHeight="1">
      <c r="A6" s="2" t="inlineStr"/>
      <c r="B6" s="3" t="inlineStr"/>
    </row>
    <row r="7" ht="30" customHeight="1">
      <c r="A7" s="2" t="inlineStr">
        <is>
          <t>Required</t>
        </is>
      </c>
      <c r="B7" s="3" t="inlineStr">
        <is>
          <t>Customer · Product · Stage · Amount · Date Entered Stage</t>
        </is>
      </c>
    </row>
    <row r="8" ht="30" customHeight="1">
      <c r="A8" s="2" t="inlineStr">
        <is>
          <t>Auto-filled</t>
        </is>
      </c>
      <c r="B8" s="3" t="inlineStr">
        <is>
          <t>Probability (from Stage), Days in Stage (from date), Annual Rev (from Product+Amount), Weighted Rev (Annual × Probability). Cells with these formulas are light blue.</t>
        </is>
      </c>
    </row>
    <row r="9" ht="30" customHeight="1">
      <c r="A9" s="2" t="inlineStr">
        <is>
          <t>Overriding</t>
        </is>
      </c>
      <c r="B9" s="3" t="inlineStr">
        <is>
          <t>Probability auto-fills from Stage, but you can type a number over the formula if your judgment differs.</t>
        </is>
      </c>
    </row>
    <row r="10" ht="8" customHeight="1">
      <c r="A10" s="2" t="inlineStr"/>
      <c r="B10" s="3" t="inlineStr"/>
    </row>
    <row r="11" ht="30" customHeight="1">
      <c r="A11" s="2" t="inlineStr">
        <is>
          <t>Products</t>
        </is>
      </c>
      <c r="B11" s="3" t="inlineStr">
        <is>
          <t>Comm Loan · Deposits · Treasury Mgmt · Other Fees</t>
        </is>
      </c>
    </row>
    <row r="12" ht="30" customHeight="1">
      <c r="A12" s="2" t="inlineStr">
        <is>
          <t>Stages (prob)</t>
        </is>
      </c>
      <c r="B12" s="3" t="inlineStr">
        <is>
          <t>Lead (10%) · Qualified (25%) · Proposal (50%) · Commit (80%) · Closed (100%)</t>
        </is>
      </c>
    </row>
    <row r="13" ht="8" customHeight="1">
      <c r="A13" s="2" t="inlineStr"/>
      <c r="B13" s="3" t="inlineStr"/>
    </row>
    <row r="14" ht="30" customHeight="1">
      <c r="A14" s="2" t="inlineStr">
        <is>
          <t>Amount units</t>
        </is>
      </c>
      <c r="B14" s="3" t="inlineStr">
        <is>
          <t>Comm Loan / Deposits = loan or deposit balance in dollars. Treasury Mgmt / Other Fees = annual fee revenue in dollars.</t>
        </is>
      </c>
    </row>
    <row r="15" ht="30" customHeight="1">
      <c r="A15" s="2" t="inlineStr">
        <is>
          <t>Annual rev</t>
        </is>
      </c>
      <c r="B15" s="3" t="inlineStr">
        <is>
          <t>For loans/deposits, Annual Rev = Amount × spread (3.4% commercial loan, 0.5% deposit). For TM/Other, Annual Rev = Amount as entered.</t>
        </is>
      </c>
    </row>
    <row r="16" ht="30" customHeight="1">
      <c r="A16" s="2" t="inlineStr">
        <is>
          <t>Closed deals</t>
        </is>
      </c>
      <c r="B16" s="3" t="inlineStr">
        <is>
          <t>Mark Stage = Closed when funded/booked. Closed deals count toward Closed YTD on the dashboard but are excluded from open pipeline.</t>
        </is>
      </c>
    </row>
    <row r="17" ht="8" customHeight="1">
      <c r="A17" s="2" t="inlineStr"/>
      <c r="B17" s="3" t="inlineStr"/>
    </row>
    <row r="18" ht="30" customHeight="1">
      <c r="A18" s="2" t="inlineStr">
        <is>
          <t>Aging colors</t>
        </is>
      </c>
      <c r="B18" s="3" t="inlineStr">
        <is>
          <t>Days in Stage &gt; 90 highlight red; 61-90 amber. Use these to triage stuck deals.</t>
        </is>
      </c>
    </row>
    <row r="19" ht="30" customHeight="1">
      <c r="A19" s="2" t="inlineStr">
        <is>
          <t>Notes column</t>
        </is>
      </c>
      <c r="B19" s="3" t="inlineStr">
        <is>
          <t>Free text. Use it for things the columns don't capture (credit conditions, RM commentary, blockers).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40" customWidth="1" min="11" max="11"/>
  </cols>
  <sheetData>
    <row r="1" ht="22" customHeight="1">
      <c r="A1" s="1" t="inlineStr">
        <is>
          <t>M. Reyes · Houston · Pipeline</t>
        </is>
      </c>
    </row>
    <row r="2" ht="22" customHeight="1">
      <c r="A2" s="11" t="inlineStr">
        <is>
          <t>Customer</t>
        </is>
      </c>
      <c r="B2" s="11" t="inlineStr">
        <is>
          <t>Product</t>
        </is>
      </c>
      <c r="C2" s="11" t="inlineStr">
        <is>
          <t>Stage</t>
        </is>
      </c>
      <c r="D2" s="11" t="inlineStr">
        <is>
          <t>Amount ($)</t>
        </is>
      </c>
      <c r="E2" s="11" t="inlineStr">
        <is>
          <t>Probability</t>
        </is>
      </c>
      <c r="F2" s="11" t="inlineStr">
        <is>
          <t>Date Entered Stage</t>
        </is>
      </c>
      <c r="G2" s="11" t="inlineStr">
        <is>
          <t>Days in Stage</t>
        </is>
      </c>
      <c r="H2" s="11" t="inlineStr">
        <is>
          <t>Expected Close</t>
        </is>
      </c>
      <c r="I2" s="11" t="inlineStr">
        <is>
          <t>Annual Rev ($)</t>
        </is>
      </c>
      <c r="J2" s="11" t="inlineStr">
        <is>
          <t>Weighted Rev ($)</t>
        </is>
      </c>
      <c r="K2" s="11" t="inlineStr">
        <is>
          <t>Notes</t>
        </is>
      </c>
    </row>
    <row r="3">
      <c r="A3" t="inlineStr">
        <is>
          <t>Northstar Tech</t>
        </is>
      </c>
      <c r="B3" t="inlineStr">
        <is>
          <t>Deposits</t>
        </is>
      </c>
      <c r="C3" t="inlineStr">
        <is>
          <t>Qualified</t>
        </is>
      </c>
      <c r="D3" s="6" t="n">
        <v>1986780.75</v>
      </c>
      <c r="E3" s="12" t="n">
        <v>0.2966</v>
      </c>
      <c r="F3" s="26" t="n">
        <v>46158</v>
      </c>
      <c r="G3" s="14">
        <f>IF(F3="","",TODAY()-F3)</f>
        <v/>
      </c>
      <c r="H3" s="26" t="n">
        <v>46331</v>
      </c>
      <c r="I3" s="15">
        <f>IF(OR(B3="",D3=""),"",D3*VLOOKUP(B3,Lookup!$A$2:$B$5,2,FALSE))</f>
        <v/>
      </c>
      <c r="J3" s="15">
        <f>IF(OR(I3="",E3=""),"",I3*E3)</f>
        <v/>
      </c>
    </row>
    <row r="4">
      <c r="A4" s="16" t="inlineStr">
        <is>
          <t>Oakridge Auto</t>
        </is>
      </c>
      <c r="B4" s="16" t="inlineStr">
        <is>
          <t>Treasury Mgmt</t>
        </is>
      </c>
      <c r="C4" s="16" t="inlineStr">
        <is>
          <t>Closed</t>
        </is>
      </c>
      <c r="D4" s="17" t="n">
        <v>56255.38</v>
      </c>
      <c r="E4" s="12" t="n">
        <v>1</v>
      </c>
      <c r="F4" s="27" t="n">
        <v>46145</v>
      </c>
      <c r="G4" s="14">
        <f>IF(F4="","",TODAY()-F4)</f>
        <v/>
      </c>
      <c r="H4" s="27" t="n">
        <v>46210</v>
      </c>
      <c r="I4" s="15">
        <f>IF(OR(B4="",D4=""),"",D4*VLOOKUP(B4,Lookup!$A$2:$B$5,2,FALSE))</f>
        <v/>
      </c>
      <c r="J4" s="15">
        <f>IF(OR(I4="",E4=""),"",I4*E4)</f>
        <v/>
      </c>
      <c r="K4" s="16" t="n"/>
    </row>
    <row r="5">
      <c r="A5" t="inlineStr">
        <is>
          <t>Pacific Imports</t>
        </is>
      </c>
      <c r="B5" t="inlineStr">
        <is>
          <t>Treasury Mgmt</t>
        </is>
      </c>
      <c r="C5" t="inlineStr">
        <is>
          <t>Proposal</t>
        </is>
      </c>
      <c r="D5" s="6" t="n">
        <v>204686.79</v>
      </c>
      <c r="E5" s="12" t="n">
        <v>0.5004</v>
      </c>
      <c r="F5" s="26" t="n">
        <v>46138</v>
      </c>
      <c r="G5" s="14">
        <f>IF(F5="","",TODAY()-F5)</f>
        <v/>
      </c>
      <c r="H5" s="26" t="n">
        <v>46280</v>
      </c>
      <c r="I5" s="15">
        <f>IF(OR(B5="",D5=""),"",D5*VLOOKUP(B5,Lookup!$A$2:$B$5,2,FALSE))</f>
        <v/>
      </c>
      <c r="J5" s="15">
        <f>IF(OR(I5="",E5=""),"",I5*E5)</f>
        <v/>
      </c>
    </row>
    <row r="6">
      <c r="A6" s="16" t="inlineStr">
        <is>
          <t>Quartz Mining</t>
        </is>
      </c>
      <c r="B6" s="16" t="inlineStr">
        <is>
          <t>Deposits</t>
        </is>
      </c>
      <c r="C6" s="16" t="inlineStr">
        <is>
          <t>Closed</t>
        </is>
      </c>
      <c r="D6" s="17" t="n">
        <v>779213.01</v>
      </c>
      <c r="E6" s="12" t="n">
        <v>0.974</v>
      </c>
      <c r="F6" s="27" t="n">
        <v>46187</v>
      </c>
      <c r="G6" s="14">
        <f>IF(F6="","",TODAY()-F6)</f>
        <v/>
      </c>
      <c r="H6" s="27" t="n">
        <v>46231</v>
      </c>
      <c r="I6" s="15">
        <f>IF(OR(B6="",D6=""),"",D6*VLOOKUP(B6,Lookup!$A$2:$B$5,2,FALSE))</f>
        <v/>
      </c>
      <c r="J6" s="15">
        <f>IF(OR(I6="",E6=""),"",I6*E6)</f>
        <v/>
      </c>
      <c r="K6" s="16" t="n"/>
    </row>
    <row r="7">
      <c r="A7" t="inlineStr">
        <is>
          <t>Redwood Construction</t>
        </is>
      </c>
      <c r="B7" t="inlineStr">
        <is>
          <t>Deposits</t>
        </is>
      </c>
      <c r="C7" t="inlineStr">
        <is>
          <t>Qualified</t>
        </is>
      </c>
      <c r="D7" s="6" t="n">
        <v>2490783.84</v>
      </c>
      <c r="E7" s="12" t="n">
        <v>0.2334</v>
      </c>
      <c r="F7" s="26" t="n">
        <v>46128</v>
      </c>
      <c r="G7" s="14">
        <f>IF(F7="","",TODAY()-F7)</f>
        <v/>
      </c>
      <c r="H7" s="26" t="n">
        <v>46351</v>
      </c>
      <c r="I7" s="15">
        <f>IF(OR(B7="",D7=""),"",D7*VLOOKUP(B7,Lookup!$A$2:$B$5,2,FALSE))</f>
        <v/>
      </c>
      <c r="J7" s="15">
        <f>IF(OR(I7="",E7=""),"",I7*E7)</f>
        <v/>
      </c>
    </row>
    <row r="8">
      <c r="A8" s="16" t="inlineStr">
        <is>
          <t>Summit Hospitality</t>
        </is>
      </c>
      <c r="B8" s="16" t="inlineStr">
        <is>
          <t>Other Fees</t>
        </is>
      </c>
      <c r="C8" s="16" t="inlineStr">
        <is>
          <t>Qualified</t>
        </is>
      </c>
      <c r="D8" s="17" t="n">
        <v>56309.17</v>
      </c>
      <c r="E8" s="12" t="n">
        <v>0.2152</v>
      </c>
      <c r="F8" s="27" t="n">
        <v>46150</v>
      </c>
      <c r="G8" s="14">
        <f>IF(F8="","",TODAY()-F8)</f>
        <v/>
      </c>
      <c r="H8" s="27" t="n">
        <v>46311</v>
      </c>
      <c r="I8" s="15">
        <f>IF(OR(B8="",D8=""),"",D8*VLOOKUP(B8,Lookup!$A$2:$B$5,2,FALSE))</f>
        <v/>
      </c>
      <c r="J8" s="15">
        <f>IF(OR(I8="",E8=""),"",I8*E8)</f>
        <v/>
      </c>
      <c r="K8" s="16" t="n"/>
    </row>
    <row r="9">
      <c r="A9" t="inlineStr">
        <is>
          <t>Trinity Pharma</t>
        </is>
      </c>
      <c r="B9" t="inlineStr">
        <is>
          <t>Other Fees</t>
        </is>
      </c>
      <c r="C9" t="inlineStr">
        <is>
          <t>Lead</t>
        </is>
      </c>
      <c r="D9" s="6" t="n">
        <v>36726.21</v>
      </c>
      <c r="E9" s="12" t="n">
        <v>0.06569999999999999</v>
      </c>
      <c r="F9" s="26" t="n">
        <v>46152</v>
      </c>
      <c r="G9" s="14">
        <f>IF(F9="","",TODAY()-F9)</f>
        <v/>
      </c>
      <c r="H9" s="26" t="n">
        <v>46330</v>
      </c>
      <c r="I9" s="15">
        <f>IF(OR(B9="",D9=""),"",D9*VLOOKUP(B9,Lookup!$A$2:$B$5,2,FALSE))</f>
        <v/>
      </c>
      <c r="J9" s="15">
        <f>IF(OR(I9="",E9=""),"",I9*E9)</f>
        <v/>
      </c>
    </row>
    <row r="10">
      <c r="A10" s="16" t="inlineStr">
        <is>
          <t>Union Distributors</t>
        </is>
      </c>
      <c r="B10" s="16" t="inlineStr">
        <is>
          <t>Comm Loan</t>
        </is>
      </c>
      <c r="C10" s="16" t="inlineStr">
        <is>
          <t>Qualified</t>
        </is>
      </c>
      <c r="D10" s="17" t="n">
        <v>1681430.41</v>
      </c>
      <c r="E10" s="12" t="n">
        <v>0.22</v>
      </c>
      <c r="F10" s="27" t="n">
        <v>46115</v>
      </c>
      <c r="G10" s="14">
        <f>IF(F10="","",TODAY()-F10)</f>
        <v/>
      </c>
      <c r="H10" s="27" t="n">
        <v>46332</v>
      </c>
      <c r="I10" s="15">
        <f>IF(OR(B10="",D10=""),"",D10*VLOOKUP(B10,Lookup!$A$2:$B$5,2,FALSE))</f>
        <v/>
      </c>
      <c r="J10" s="15">
        <f>IF(OR(I10="",E10=""),"",I10*E10)</f>
        <v/>
      </c>
      <c r="K10" s="16" t="n"/>
    </row>
    <row r="11">
      <c r="A11" t="inlineStr">
        <is>
          <t>Vanguard Plastics</t>
        </is>
      </c>
      <c r="B11" t="inlineStr">
        <is>
          <t>Deposits</t>
        </is>
      </c>
      <c r="C11" t="inlineStr">
        <is>
          <t>Commit</t>
        </is>
      </c>
      <c r="D11" s="6" t="n">
        <v>1591906.93</v>
      </c>
      <c r="E11" s="12" t="n">
        <v>0.7977</v>
      </c>
      <c r="F11" s="26" t="n">
        <v>46156</v>
      </c>
      <c r="G11" s="14">
        <f>IF(F11="","",TODAY()-F11)</f>
        <v/>
      </c>
      <c r="H11" s="26" t="n">
        <v>46263</v>
      </c>
      <c r="I11" s="15">
        <f>IF(OR(B11="",D11=""),"",D11*VLOOKUP(B11,Lookup!$A$2:$B$5,2,FALSE))</f>
        <v/>
      </c>
      <c r="J11" s="15">
        <f>IF(OR(I11="",E11=""),"",I11*E11)</f>
        <v/>
      </c>
    </row>
    <row r="12">
      <c r="A12" s="16" t="inlineStr">
        <is>
          <t>Westfield Retail</t>
        </is>
      </c>
      <c r="B12" s="16" t="inlineStr">
        <is>
          <t>Deposits</t>
        </is>
      </c>
      <c r="C12" s="16" t="inlineStr">
        <is>
          <t>Lead</t>
        </is>
      </c>
      <c r="D12" s="17" t="n">
        <v>5644082.34</v>
      </c>
      <c r="E12" s="12" t="n">
        <v>0.0905</v>
      </c>
      <c r="F12" s="27" t="n">
        <v>46165</v>
      </c>
      <c r="G12" s="14">
        <f>IF(F12="","",TODAY()-F12)</f>
        <v/>
      </c>
      <c r="H12" s="27" t="n">
        <v>46380</v>
      </c>
      <c r="I12" s="15">
        <f>IF(OR(B12="",D12=""),"",D12*VLOOKUP(B12,Lookup!$A$2:$B$5,2,FALSE))</f>
        <v/>
      </c>
      <c r="J12" s="15">
        <f>IF(OR(I12="",E12=""),"",I12*E12)</f>
        <v/>
      </c>
      <c r="K12" s="16" t="n"/>
    </row>
    <row r="13">
      <c r="A13" t="inlineStr">
        <is>
          <t>Yellowstone Ranch</t>
        </is>
      </c>
      <c r="B13" t="inlineStr">
        <is>
          <t>Comm Loan</t>
        </is>
      </c>
      <c r="C13" t="inlineStr">
        <is>
          <t>Lead</t>
        </is>
      </c>
      <c r="D13" s="6" t="n">
        <v>2214860.59</v>
      </c>
      <c r="E13" s="12" t="n">
        <v>0.1229</v>
      </c>
      <c r="F13" s="26" t="n">
        <v>46158</v>
      </c>
      <c r="G13" s="14">
        <f>IF(F13="","",TODAY()-F13)</f>
        <v/>
      </c>
      <c r="H13" s="26" t="n">
        <v>46358</v>
      </c>
      <c r="I13" s="15">
        <f>IF(OR(B13="",D13=""),"",D13*VLOOKUP(B13,Lookup!$A$2:$B$5,2,FALSE))</f>
        <v/>
      </c>
      <c r="J13" s="15">
        <f>IF(OR(I13="",E13=""),"",I13*E13)</f>
        <v/>
      </c>
    </row>
    <row r="14">
      <c r="A14" s="16" t="inlineStr">
        <is>
          <t>Zenith Software</t>
        </is>
      </c>
      <c r="B14" s="16" t="inlineStr">
        <is>
          <t>Deposits</t>
        </is>
      </c>
      <c r="C14" s="16" t="inlineStr">
        <is>
          <t>Lead</t>
        </is>
      </c>
      <c r="D14" s="17" t="n">
        <v>631615.27</v>
      </c>
      <c r="E14" s="12" t="n">
        <v>0.1412</v>
      </c>
      <c r="F14" s="27" t="n">
        <v>46179</v>
      </c>
      <c r="G14" s="14">
        <f>IF(F14="","",TODAY()-F14)</f>
        <v/>
      </c>
      <c r="H14" s="27" t="n">
        <v>46364</v>
      </c>
      <c r="I14" s="15">
        <f>IF(OR(B14="",D14=""),"",D14*VLOOKUP(B14,Lookup!$A$2:$B$5,2,FALSE))</f>
        <v/>
      </c>
      <c r="J14" s="15">
        <f>IF(OR(I14="",E14=""),"",I14*E14)</f>
        <v/>
      </c>
      <c r="K14" s="16" t="n"/>
    </row>
    <row r="15">
      <c r="A15" t="inlineStr">
        <is>
          <t>Alamo Equipment</t>
        </is>
      </c>
      <c r="B15" t="inlineStr">
        <is>
          <t>Comm Loan</t>
        </is>
      </c>
      <c r="C15" t="inlineStr">
        <is>
          <t>Closed</t>
        </is>
      </c>
      <c r="D15" s="6" t="n">
        <v>815121.37</v>
      </c>
      <c r="E15" s="12" t="n">
        <v>1</v>
      </c>
      <c r="F15" s="26" t="n">
        <v>46166</v>
      </c>
      <c r="G15" s="14">
        <f>IF(F15="","",TODAY()-F15)</f>
        <v/>
      </c>
      <c r="H15" s="26" t="n">
        <v>46242</v>
      </c>
      <c r="I15" s="15">
        <f>IF(OR(B15="",D15=""),"",D15*VLOOKUP(B15,Lookup!$A$2:$B$5,2,FALSE))</f>
        <v/>
      </c>
      <c r="J15" s="15">
        <f>IF(OR(I15="",E15=""),"",I15*E15)</f>
        <v/>
      </c>
    </row>
    <row r="16">
      <c r="A16" s="16" t="inlineStr">
        <is>
          <t>Brazos Petroleum</t>
        </is>
      </c>
      <c r="B16" s="16" t="inlineStr">
        <is>
          <t>Treasury Mgmt</t>
        </is>
      </c>
      <c r="C16" s="16" t="inlineStr">
        <is>
          <t>Proposal</t>
        </is>
      </c>
      <c r="D16" s="17" t="n">
        <v>258735.19</v>
      </c>
      <c r="E16" s="12" t="n">
        <v>0.4877</v>
      </c>
      <c r="F16" s="27" t="n">
        <v>46186</v>
      </c>
      <c r="G16" s="14">
        <f>IF(F16="","",TODAY()-F16)</f>
        <v/>
      </c>
      <c r="H16" s="27" t="n">
        <v>46264</v>
      </c>
      <c r="I16" s="15">
        <f>IF(OR(B16="",D16=""),"",D16*VLOOKUP(B16,Lookup!$A$2:$B$5,2,FALSE))</f>
        <v/>
      </c>
      <c r="J16" s="15">
        <f>IF(OR(I16="",E16=""),"",I16*E16)</f>
        <v/>
      </c>
      <c r="K16" s="16" t="n"/>
    </row>
    <row r="17">
      <c r="D17" s="6" t="n"/>
      <c r="E17" s="12">
        <f>IF(C17="","",VLOOKUP(C17,Lookup!$D$2:$E$6,2,FALSE))</f>
        <v/>
      </c>
      <c r="F17" s="26" t="n"/>
      <c r="G17" s="14">
        <f>IF(F17="","",TODAY()-F17)</f>
        <v/>
      </c>
      <c r="H17" s="26" t="n"/>
      <c r="I17" s="15">
        <f>IF(OR(B17="",D17=""),"",D17*VLOOKUP(B17,Lookup!$A$2:$B$5,2,FALSE))</f>
        <v/>
      </c>
      <c r="J17" s="15">
        <f>IF(OR(I17="",E17=""),"",I17*E17)</f>
        <v/>
      </c>
    </row>
    <row r="18">
      <c r="A18" s="16" t="n"/>
      <c r="B18" s="16" t="n"/>
      <c r="C18" s="16" t="n"/>
      <c r="D18" s="17" t="n"/>
      <c r="E18" s="12">
        <f>IF(C18="","",VLOOKUP(C18,Lookup!$D$2:$E$6,2,FALSE))</f>
        <v/>
      </c>
      <c r="F18" s="27" t="n"/>
      <c r="G18" s="14">
        <f>IF(F18="","",TODAY()-F18)</f>
        <v/>
      </c>
      <c r="H18" s="27" t="n"/>
      <c r="I18" s="15">
        <f>IF(OR(B18="",D18=""),"",D18*VLOOKUP(B18,Lookup!$A$2:$B$5,2,FALSE))</f>
        <v/>
      </c>
      <c r="J18" s="15">
        <f>IF(OR(I18="",E18=""),"",I18*E18)</f>
        <v/>
      </c>
      <c r="K18" s="16" t="n"/>
    </row>
    <row r="19">
      <c r="D19" s="6" t="n"/>
      <c r="E19" s="12">
        <f>IF(C19="","",VLOOKUP(C19,Lookup!$D$2:$E$6,2,FALSE))</f>
        <v/>
      </c>
      <c r="F19" s="26" t="n"/>
      <c r="G19" s="14">
        <f>IF(F19="","",TODAY()-F19)</f>
        <v/>
      </c>
      <c r="H19" s="26" t="n"/>
      <c r="I19" s="15">
        <f>IF(OR(B19="",D19=""),"",D19*VLOOKUP(B19,Lookup!$A$2:$B$5,2,FALSE))</f>
        <v/>
      </c>
      <c r="J19" s="15">
        <f>IF(OR(I19="",E19=""),"",I19*E19)</f>
        <v/>
      </c>
    </row>
    <row r="20">
      <c r="A20" s="16" t="n"/>
      <c r="B20" s="16" t="n"/>
      <c r="C20" s="16" t="n"/>
      <c r="D20" s="17" t="n"/>
      <c r="E20" s="12">
        <f>IF(C20="","",VLOOKUP(C20,Lookup!$D$2:$E$6,2,FALSE))</f>
        <v/>
      </c>
      <c r="F20" s="27" t="n"/>
      <c r="G20" s="14">
        <f>IF(F20="","",TODAY()-F20)</f>
        <v/>
      </c>
      <c r="H20" s="27" t="n"/>
      <c r="I20" s="15">
        <f>IF(OR(B20="",D20=""),"",D20*VLOOKUP(B20,Lookup!$A$2:$B$5,2,FALSE))</f>
        <v/>
      </c>
      <c r="J20" s="15">
        <f>IF(OR(I20="",E20=""),"",I20*E20)</f>
        <v/>
      </c>
      <c r="K20" s="16" t="n"/>
    </row>
    <row r="21">
      <c r="D21" s="6" t="n"/>
      <c r="E21" s="12">
        <f>IF(C21="","",VLOOKUP(C21,Lookup!$D$2:$E$6,2,FALSE))</f>
        <v/>
      </c>
      <c r="F21" s="26" t="n"/>
      <c r="G21" s="14">
        <f>IF(F21="","",TODAY()-F21)</f>
        <v/>
      </c>
      <c r="H21" s="26" t="n"/>
      <c r="I21" s="15">
        <f>IF(OR(B21="",D21=""),"",D21*VLOOKUP(B21,Lookup!$A$2:$B$5,2,FALSE))</f>
        <v/>
      </c>
      <c r="J21" s="15">
        <f>IF(OR(I21="",E21=""),"",I21*E21)</f>
        <v/>
      </c>
    </row>
    <row r="22">
      <c r="A22" s="16" t="n"/>
      <c r="B22" s="16" t="n"/>
      <c r="C22" s="16" t="n"/>
      <c r="D22" s="17" t="n"/>
      <c r="E22" s="12">
        <f>IF(C22="","",VLOOKUP(C22,Lookup!$D$2:$E$6,2,FALSE))</f>
        <v/>
      </c>
      <c r="F22" s="27" t="n"/>
      <c r="G22" s="14">
        <f>IF(F22="","",TODAY()-F22)</f>
        <v/>
      </c>
      <c r="H22" s="27" t="n"/>
      <c r="I22" s="15">
        <f>IF(OR(B22="",D22=""),"",D22*VLOOKUP(B22,Lookup!$A$2:$B$5,2,FALSE))</f>
        <v/>
      </c>
      <c r="J22" s="15">
        <f>IF(OR(I22="",E22=""),"",I22*E22)</f>
        <v/>
      </c>
      <c r="K22" s="16" t="n"/>
    </row>
    <row r="23">
      <c r="D23" s="6" t="n"/>
      <c r="E23" s="12">
        <f>IF(C23="","",VLOOKUP(C23,Lookup!$D$2:$E$6,2,FALSE))</f>
        <v/>
      </c>
      <c r="F23" s="26" t="n"/>
      <c r="G23" s="14">
        <f>IF(F23="","",TODAY()-F23)</f>
        <v/>
      </c>
      <c r="H23" s="26" t="n"/>
      <c r="I23" s="15">
        <f>IF(OR(B23="",D23=""),"",D23*VLOOKUP(B23,Lookup!$A$2:$B$5,2,FALSE))</f>
        <v/>
      </c>
      <c r="J23" s="15">
        <f>IF(OR(I23="",E23=""),"",I23*E23)</f>
        <v/>
      </c>
    </row>
    <row r="24">
      <c r="A24" s="16" t="n"/>
      <c r="B24" s="16" t="n"/>
      <c r="C24" s="16" t="n"/>
      <c r="D24" s="17" t="n"/>
      <c r="E24" s="12">
        <f>IF(C24="","",VLOOKUP(C24,Lookup!$D$2:$E$6,2,FALSE))</f>
        <v/>
      </c>
      <c r="F24" s="27" t="n"/>
      <c r="G24" s="14">
        <f>IF(F24="","",TODAY()-F24)</f>
        <v/>
      </c>
      <c r="H24" s="27" t="n"/>
      <c r="I24" s="15">
        <f>IF(OR(B24="",D24=""),"",D24*VLOOKUP(B24,Lookup!$A$2:$B$5,2,FALSE))</f>
        <v/>
      </c>
      <c r="J24" s="15">
        <f>IF(OR(I24="",E24=""),"",I24*E24)</f>
        <v/>
      </c>
      <c r="K24" s="16" t="n"/>
    </row>
    <row r="25">
      <c r="D25" s="6" t="n"/>
      <c r="E25" s="12">
        <f>IF(C25="","",VLOOKUP(C25,Lookup!$D$2:$E$6,2,FALSE))</f>
        <v/>
      </c>
      <c r="F25" s="26" t="n"/>
      <c r="G25" s="14">
        <f>IF(F25="","",TODAY()-F25)</f>
        <v/>
      </c>
      <c r="H25" s="26" t="n"/>
      <c r="I25" s="15">
        <f>IF(OR(B25="",D25=""),"",D25*VLOOKUP(B25,Lookup!$A$2:$B$5,2,FALSE))</f>
        <v/>
      </c>
      <c r="J25" s="15">
        <f>IF(OR(I25="",E25=""),"",I25*E25)</f>
        <v/>
      </c>
    </row>
    <row r="26">
      <c r="A26" s="16" t="n"/>
      <c r="B26" s="16" t="n"/>
      <c r="C26" s="16" t="n"/>
      <c r="D26" s="17" t="n"/>
      <c r="E26" s="12">
        <f>IF(C26="","",VLOOKUP(C26,Lookup!$D$2:$E$6,2,FALSE))</f>
        <v/>
      </c>
      <c r="F26" s="27" t="n"/>
      <c r="G26" s="14">
        <f>IF(F26="","",TODAY()-F26)</f>
        <v/>
      </c>
      <c r="H26" s="27" t="n"/>
      <c r="I26" s="15">
        <f>IF(OR(B26="",D26=""),"",D26*VLOOKUP(B26,Lookup!$A$2:$B$5,2,FALSE))</f>
        <v/>
      </c>
      <c r="J26" s="15">
        <f>IF(OR(I26="",E26=""),"",I26*E26)</f>
        <v/>
      </c>
      <c r="K26" s="16" t="n"/>
    </row>
    <row r="27">
      <c r="D27" s="6" t="n"/>
      <c r="E27" s="12">
        <f>IF(C27="","",VLOOKUP(C27,Lookup!$D$2:$E$6,2,FALSE))</f>
        <v/>
      </c>
      <c r="F27" s="26" t="n"/>
      <c r="G27" s="14">
        <f>IF(F27="","",TODAY()-F27)</f>
        <v/>
      </c>
      <c r="H27" s="26" t="n"/>
      <c r="I27" s="15">
        <f>IF(OR(B27="",D27=""),"",D27*VLOOKUP(B27,Lookup!$A$2:$B$5,2,FALSE))</f>
        <v/>
      </c>
      <c r="J27" s="15">
        <f>IF(OR(I27="",E27=""),"",I27*E27)</f>
        <v/>
      </c>
    </row>
    <row r="28">
      <c r="A28" s="16" t="n"/>
      <c r="B28" s="16" t="n"/>
      <c r="C28" s="16" t="n"/>
      <c r="D28" s="17" t="n"/>
      <c r="E28" s="12">
        <f>IF(C28="","",VLOOKUP(C28,Lookup!$D$2:$E$6,2,FALSE))</f>
        <v/>
      </c>
      <c r="F28" s="27" t="n"/>
      <c r="G28" s="14">
        <f>IF(F28="","",TODAY()-F28)</f>
        <v/>
      </c>
      <c r="H28" s="27" t="n"/>
      <c r="I28" s="15">
        <f>IF(OR(B28="",D28=""),"",D28*VLOOKUP(B28,Lookup!$A$2:$B$5,2,FALSE))</f>
        <v/>
      </c>
      <c r="J28" s="15">
        <f>IF(OR(I28="",E28=""),"",I28*E28)</f>
        <v/>
      </c>
      <c r="K28" s="16" t="n"/>
    </row>
    <row r="29">
      <c r="D29" s="6" t="n"/>
      <c r="E29" s="12">
        <f>IF(C29="","",VLOOKUP(C29,Lookup!$D$2:$E$6,2,FALSE))</f>
        <v/>
      </c>
      <c r="F29" s="26" t="n"/>
      <c r="G29" s="14">
        <f>IF(F29="","",TODAY()-F29)</f>
        <v/>
      </c>
      <c r="H29" s="26" t="n"/>
      <c r="I29" s="15">
        <f>IF(OR(B29="",D29=""),"",D29*VLOOKUP(B29,Lookup!$A$2:$B$5,2,FALSE))</f>
        <v/>
      </c>
      <c r="J29" s="15">
        <f>IF(OR(I29="",E29=""),"",I29*E29)</f>
        <v/>
      </c>
    </row>
    <row r="30">
      <c r="A30" s="16" t="n"/>
      <c r="B30" s="16" t="n"/>
      <c r="C30" s="16" t="n"/>
      <c r="D30" s="17" t="n"/>
      <c r="E30" s="12">
        <f>IF(C30="","",VLOOKUP(C30,Lookup!$D$2:$E$6,2,FALSE))</f>
        <v/>
      </c>
      <c r="F30" s="27" t="n"/>
      <c r="G30" s="14">
        <f>IF(F30="","",TODAY()-F30)</f>
        <v/>
      </c>
      <c r="H30" s="27" t="n"/>
      <c r="I30" s="15">
        <f>IF(OR(B30="",D30=""),"",D30*VLOOKUP(B30,Lookup!$A$2:$B$5,2,FALSE))</f>
        <v/>
      </c>
      <c r="J30" s="15">
        <f>IF(OR(I30="",E30=""),"",I30*E30)</f>
        <v/>
      </c>
      <c r="K30" s="16" t="n"/>
    </row>
    <row r="31">
      <c r="D31" s="6" t="n"/>
      <c r="E31" s="12">
        <f>IF(C31="","",VLOOKUP(C31,Lookup!$D$2:$E$6,2,FALSE))</f>
        <v/>
      </c>
      <c r="F31" s="26" t="n"/>
      <c r="G31" s="14">
        <f>IF(F31="","",TODAY()-F31)</f>
        <v/>
      </c>
      <c r="H31" s="26" t="n"/>
      <c r="I31" s="15">
        <f>IF(OR(B31="",D31=""),"",D31*VLOOKUP(B31,Lookup!$A$2:$B$5,2,FALSE))</f>
        <v/>
      </c>
      <c r="J31" s="15">
        <f>IF(OR(I31="",E31=""),"",I31*E31)</f>
        <v/>
      </c>
    </row>
    <row r="32">
      <c r="A32" s="16" t="n"/>
      <c r="B32" s="16" t="n"/>
      <c r="C32" s="16" t="n"/>
      <c r="D32" s="17" t="n"/>
      <c r="E32" s="12">
        <f>IF(C32="","",VLOOKUP(C32,Lookup!$D$2:$E$6,2,FALSE))</f>
        <v/>
      </c>
      <c r="F32" s="27" t="n"/>
      <c r="G32" s="14">
        <f>IF(F32="","",TODAY()-F32)</f>
        <v/>
      </c>
      <c r="H32" s="27" t="n"/>
      <c r="I32" s="15">
        <f>IF(OR(B32="",D32=""),"",D32*VLOOKUP(B32,Lookup!$A$2:$B$5,2,FALSE))</f>
        <v/>
      </c>
      <c r="J32" s="15">
        <f>IF(OR(I32="",E32=""),"",I32*E32)</f>
        <v/>
      </c>
      <c r="K32" s="16" t="n"/>
    </row>
  </sheetData>
  <mergeCells count="1">
    <mergeCell ref="A1:K1"/>
  </mergeCells>
  <conditionalFormatting sqref="G3:G32">
    <cfRule type="cellIs" priority="1" operator="greaterThan" dxfId="0">
      <formula>90</formula>
    </cfRule>
    <cfRule type="cellIs" priority="2" operator="between" dxfId="1">
      <formula>61</formula>
      <formula>90</formula>
    </cfRule>
  </conditionalFormatting>
  <dataValidations count="6">
    <dataValidation sqref="B3:B32" showDropDown="0" showInputMessage="0" showErrorMessage="1" allowBlank="1" errorTitle="Invalid product" error="Pick one of: Comm Loan, Deposits, Treasury Mgmt, Other Fees" type="list">
      <formula1>=Lookup!$A$2:$A$5</formula1>
    </dataValidation>
    <dataValidation sqref="C3:C32" showDropDown="0" showInputMessage="0" showErrorMessage="1" allowBlank="1" errorTitle="Invalid stage" error="Pick one of: Lead, Qualified, Proposal, Commit, Closed" type="list">
      <formula1>=Lookup!$D$2:$D$6</formula1>
    </dataValidation>
    <dataValidation sqref="D3:D32" showDropDown="0" showInputMessage="0" showErrorMessage="0" allowBlank="1" type="decimal" operator="greaterThanOrEqual">
      <formula1>0</formula1>
    </dataValidation>
    <dataValidation sqref="E3:E32" showDropDown="0" showInputMessage="0" showErrorMessage="0" allowBlank="1" errorTitle="Invalid probability" error="Enter a decimal between 0 and 1 (e.g. 0.25 for 25%)" type="decimal" operator="between">
      <formula1>0</formula1>
      <formula2>1</formula2>
    </dataValidation>
    <dataValidation sqref="F3:F32" showDropDown="0" showInputMessage="0" showErrorMessage="0" allowBlank="1" errorTitle="Invalid date — Date Entered Stage" error="Enter a date (mm/dd/yyyy)" type="date"/>
    <dataValidation sqref="H3:H32" showDropDown="0" showInputMessage="0" showErrorMessage="0" allowBlank="1" errorTitle="Invalid date — Expected Close" error="Enter a date (mm/dd/yyyy)" type="date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40" customWidth="1" min="11" max="11"/>
  </cols>
  <sheetData>
    <row r="1" ht="22" customHeight="1">
      <c r="A1" s="1" t="inlineStr">
        <is>
          <t>D. Patel · Houston · Pipeline</t>
        </is>
      </c>
    </row>
    <row r="2" ht="22" customHeight="1">
      <c r="A2" s="11" t="inlineStr">
        <is>
          <t>Customer</t>
        </is>
      </c>
      <c r="B2" s="11" t="inlineStr">
        <is>
          <t>Product</t>
        </is>
      </c>
      <c r="C2" s="11" t="inlineStr">
        <is>
          <t>Stage</t>
        </is>
      </c>
      <c r="D2" s="11" t="inlineStr">
        <is>
          <t>Amount ($)</t>
        </is>
      </c>
      <c r="E2" s="11" t="inlineStr">
        <is>
          <t>Probability</t>
        </is>
      </c>
      <c r="F2" s="11" t="inlineStr">
        <is>
          <t>Date Entered Stage</t>
        </is>
      </c>
      <c r="G2" s="11" t="inlineStr">
        <is>
          <t>Days in Stage</t>
        </is>
      </c>
      <c r="H2" s="11" t="inlineStr">
        <is>
          <t>Expected Close</t>
        </is>
      </c>
      <c r="I2" s="11" t="inlineStr">
        <is>
          <t>Annual Rev ($)</t>
        </is>
      </c>
      <c r="J2" s="11" t="inlineStr">
        <is>
          <t>Weighted Rev ($)</t>
        </is>
      </c>
      <c r="K2" s="11" t="inlineStr">
        <is>
          <t>Notes</t>
        </is>
      </c>
    </row>
    <row r="3">
      <c r="A3" t="inlineStr">
        <is>
          <t>Zenith Software</t>
        </is>
      </c>
      <c r="B3" t="inlineStr">
        <is>
          <t>Deposits</t>
        </is>
      </c>
      <c r="C3" t="inlineStr">
        <is>
          <t>Lead</t>
        </is>
      </c>
      <c r="D3" s="6" t="n">
        <v>3805889.47</v>
      </c>
      <c r="E3" s="12" t="n">
        <v>0.1462</v>
      </c>
      <c r="F3" s="26" t="n">
        <v>46115</v>
      </c>
      <c r="G3" s="14">
        <f>IF(F3="","",TODAY()-F3)</f>
        <v/>
      </c>
      <c r="H3" s="26" t="n">
        <v>46383</v>
      </c>
      <c r="I3" s="15">
        <f>IF(OR(B3="",D3=""),"",D3*VLOOKUP(B3,Lookup!$A$2:$B$5,2,FALSE))</f>
        <v/>
      </c>
      <c r="J3" s="15">
        <f>IF(OR(I3="",E3=""),"",I3*E3)</f>
        <v/>
      </c>
    </row>
    <row r="4">
      <c r="A4" s="16" t="inlineStr">
        <is>
          <t>Alamo Equipment</t>
        </is>
      </c>
      <c r="B4" s="16" t="inlineStr">
        <is>
          <t>Other Fees</t>
        </is>
      </c>
      <c r="C4" s="16" t="inlineStr">
        <is>
          <t>Lead</t>
        </is>
      </c>
      <c r="D4" s="17" t="n">
        <v>44796.73</v>
      </c>
      <c r="E4" s="12" t="n">
        <v>0.0978</v>
      </c>
      <c r="F4" s="27" t="n">
        <v>46113</v>
      </c>
      <c r="G4" s="14">
        <f>IF(F4="","",TODAY()-F4)</f>
        <v/>
      </c>
      <c r="H4" s="27" t="n">
        <v>46336</v>
      </c>
      <c r="I4" s="15">
        <f>IF(OR(B4="",D4=""),"",D4*VLOOKUP(B4,Lookup!$A$2:$B$5,2,FALSE))</f>
        <v/>
      </c>
      <c r="J4" s="15">
        <f>IF(OR(I4="",E4=""),"",I4*E4)</f>
        <v/>
      </c>
      <c r="K4" s="16" t="n"/>
    </row>
    <row r="5">
      <c r="A5" t="inlineStr">
        <is>
          <t>Brazos Petroleum</t>
        </is>
      </c>
      <c r="B5" t="inlineStr">
        <is>
          <t>Other Fees</t>
        </is>
      </c>
      <c r="C5" t="inlineStr">
        <is>
          <t>Commit</t>
        </is>
      </c>
      <c r="D5" s="6" t="n">
        <v>21234.43</v>
      </c>
      <c r="E5" s="12" t="n">
        <v>0.7959000000000001</v>
      </c>
      <c r="F5" s="26" t="n">
        <v>46188</v>
      </c>
      <c r="G5" s="14">
        <f>IF(F5="","",TODAY()-F5)</f>
        <v/>
      </c>
      <c r="H5" s="26" t="n">
        <v>46244</v>
      </c>
      <c r="I5" s="15">
        <f>IF(OR(B5="",D5=""),"",D5*VLOOKUP(B5,Lookup!$A$2:$B$5,2,FALSE))</f>
        <v/>
      </c>
      <c r="J5" s="15">
        <f>IF(OR(I5="",E5=""),"",I5*E5)</f>
        <v/>
      </c>
    </row>
    <row r="6">
      <c r="A6" s="16" t="inlineStr">
        <is>
          <t>Cedar Cabinetry</t>
        </is>
      </c>
      <c r="B6" s="16" t="inlineStr">
        <is>
          <t>Deposits</t>
        </is>
      </c>
      <c r="C6" s="16" t="inlineStr">
        <is>
          <t>Qualified</t>
        </is>
      </c>
      <c r="D6" s="17" t="n">
        <v>664568.04</v>
      </c>
      <c r="E6" s="12" t="n">
        <v>0.2805</v>
      </c>
      <c r="F6" s="27" t="n">
        <v>46184</v>
      </c>
      <c r="G6" s="14">
        <f>IF(F6="","",TODAY()-F6)</f>
        <v/>
      </c>
      <c r="H6" s="27" t="n">
        <v>46339</v>
      </c>
      <c r="I6" s="15">
        <f>IF(OR(B6="",D6=""),"",D6*VLOOKUP(B6,Lookup!$A$2:$B$5,2,FALSE))</f>
        <v/>
      </c>
      <c r="J6" s="15">
        <f>IF(OR(I6="",E6=""),"",I6*E6)</f>
        <v/>
      </c>
      <c r="K6" s="16" t="n"/>
    </row>
    <row r="7">
      <c r="A7" t="inlineStr">
        <is>
          <t>Driftwood Hotels</t>
        </is>
      </c>
      <c r="B7" t="inlineStr">
        <is>
          <t>Other Fees</t>
        </is>
      </c>
      <c r="C7" t="inlineStr">
        <is>
          <t>Proposal</t>
        </is>
      </c>
      <c r="D7" s="6" t="n">
        <v>51592.1</v>
      </c>
      <c r="E7" s="12" t="n">
        <v>0.5394</v>
      </c>
      <c r="F7" s="26" t="n">
        <v>46175</v>
      </c>
      <c r="G7" s="14">
        <f>IF(F7="","",TODAY()-F7)</f>
        <v/>
      </c>
      <c r="H7" s="26" t="n">
        <v>46310</v>
      </c>
      <c r="I7" s="15">
        <f>IF(OR(B7="",D7=""),"",D7*VLOOKUP(B7,Lookup!$A$2:$B$5,2,FALSE))</f>
        <v/>
      </c>
      <c r="J7" s="15">
        <f>IF(OR(I7="",E7=""),"",I7*E7)</f>
        <v/>
      </c>
    </row>
    <row r="8">
      <c r="A8" s="16" t="inlineStr">
        <is>
          <t>Acme Holdings</t>
        </is>
      </c>
      <c r="B8" s="16" t="inlineStr">
        <is>
          <t>Deposits</t>
        </is>
      </c>
      <c r="C8" s="16" t="inlineStr">
        <is>
          <t>Commit</t>
        </is>
      </c>
      <c r="D8" s="17" t="n">
        <v>5523470.11</v>
      </c>
      <c r="E8" s="12" t="n">
        <v>0.7583</v>
      </c>
      <c r="F8" s="27" t="n">
        <v>46130</v>
      </c>
      <c r="G8" s="14">
        <f>IF(F8="","",TODAY()-F8)</f>
        <v/>
      </c>
      <c r="H8" s="27" t="n">
        <v>46253</v>
      </c>
      <c r="I8" s="15">
        <f>IF(OR(B8="",D8=""),"",D8*VLOOKUP(B8,Lookup!$A$2:$B$5,2,FALSE))</f>
        <v/>
      </c>
      <c r="J8" s="15">
        <f>IF(OR(I8="",E8=""),"",I8*E8)</f>
        <v/>
      </c>
      <c r="K8" s="16" t="n"/>
    </row>
    <row r="9">
      <c r="A9" t="inlineStr">
        <is>
          <t>Beacon Industries</t>
        </is>
      </c>
      <c r="B9" t="inlineStr">
        <is>
          <t>Treasury Mgmt</t>
        </is>
      </c>
      <c r="C9" t="inlineStr">
        <is>
          <t>Proposal</t>
        </is>
      </c>
      <c r="D9" s="6" t="n">
        <v>154984.05</v>
      </c>
      <c r="E9" s="12" t="n">
        <v>0.5372</v>
      </c>
      <c r="F9" s="26" t="n">
        <v>46123</v>
      </c>
      <c r="G9" s="14">
        <f>IF(F9="","",TODAY()-F9)</f>
        <v/>
      </c>
      <c r="H9" s="26" t="n">
        <v>46286</v>
      </c>
      <c r="I9" s="15">
        <f>IF(OR(B9="",D9=""),"",D9*VLOOKUP(B9,Lookup!$A$2:$B$5,2,FALSE))</f>
        <v/>
      </c>
      <c r="J9" s="15">
        <f>IF(OR(I9="",E9=""),"",I9*E9)</f>
        <v/>
      </c>
    </row>
    <row r="10">
      <c r="A10" s="16" t="inlineStr">
        <is>
          <t>Cypress Group</t>
        </is>
      </c>
      <c r="B10" s="16" t="inlineStr">
        <is>
          <t>Comm Loan</t>
        </is>
      </c>
      <c r="C10" s="16" t="inlineStr">
        <is>
          <t>Lead</t>
        </is>
      </c>
      <c r="D10" s="17" t="n">
        <v>1294674.45</v>
      </c>
      <c r="E10" s="12" t="n">
        <v>0.1322</v>
      </c>
      <c r="F10" s="27" t="n">
        <v>46140</v>
      </c>
      <c r="G10" s="14">
        <f>IF(F10="","",TODAY()-F10)</f>
        <v/>
      </c>
      <c r="H10" s="27" t="n">
        <v>46364</v>
      </c>
      <c r="I10" s="15">
        <f>IF(OR(B10="",D10=""),"",D10*VLOOKUP(B10,Lookup!$A$2:$B$5,2,FALSE))</f>
        <v/>
      </c>
      <c r="J10" s="15">
        <f>IF(OR(I10="",E10=""),"",I10*E10)</f>
        <v/>
      </c>
      <c r="K10" s="16" t="n"/>
    </row>
    <row r="11">
      <c r="A11" t="inlineStr">
        <is>
          <t>Delta Manufacturing</t>
        </is>
      </c>
      <c r="B11" t="inlineStr">
        <is>
          <t>Comm Loan</t>
        </is>
      </c>
      <c r="C11" t="inlineStr">
        <is>
          <t>Closed</t>
        </is>
      </c>
      <c r="D11" s="6" t="n">
        <v>670519.5699999999</v>
      </c>
      <c r="E11" s="12" t="n">
        <v>1</v>
      </c>
      <c r="F11" s="26" t="n">
        <v>46192</v>
      </c>
      <c r="G11" s="14">
        <f>IF(F11="","",TODAY()-F11)</f>
        <v/>
      </c>
      <c r="H11" s="26" t="n">
        <v>46216</v>
      </c>
      <c r="I11" s="15">
        <f>IF(OR(B11="",D11=""),"",D11*VLOOKUP(B11,Lookup!$A$2:$B$5,2,FALSE))</f>
        <v/>
      </c>
      <c r="J11" s="15">
        <f>IF(OR(I11="",E11=""),"",I11*E11)</f>
        <v/>
      </c>
    </row>
    <row r="12">
      <c r="A12" s="16" t="inlineStr">
        <is>
          <t>Evergreen Realty</t>
        </is>
      </c>
      <c r="B12" s="16" t="inlineStr">
        <is>
          <t>Comm Loan</t>
        </is>
      </c>
      <c r="C12" s="16" t="inlineStr">
        <is>
          <t>Commit</t>
        </is>
      </c>
      <c r="D12" s="17" t="n">
        <v>7093495.94</v>
      </c>
      <c r="E12" s="12" t="n">
        <v>0.8165</v>
      </c>
      <c r="F12" s="27" t="n">
        <v>46150</v>
      </c>
      <c r="G12" s="14">
        <f>IF(F12="","",TODAY()-F12)</f>
        <v/>
      </c>
      <c r="H12" s="27" t="n">
        <v>46262</v>
      </c>
      <c r="I12" s="15">
        <f>IF(OR(B12="",D12=""),"",D12*VLOOKUP(B12,Lookup!$A$2:$B$5,2,FALSE))</f>
        <v/>
      </c>
      <c r="J12" s="15">
        <f>IF(OR(I12="",E12=""),"",I12*E12)</f>
        <v/>
      </c>
      <c r="K12" s="16" t="n"/>
    </row>
    <row r="13">
      <c r="A13" t="inlineStr">
        <is>
          <t>Galleon Logistics</t>
        </is>
      </c>
      <c r="B13" t="inlineStr">
        <is>
          <t>Comm Loan</t>
        </is>
      </c>
      <c r="C13" t="inlineStr">
        <is>
          <t>Qualified</t>
        </is>
      </c>
      <c r="D13" s="6" t="n">
        <v>3025189.44</v>
      </c>
      <c r="E13" s="12" t="n">
        <v>0.259</v>
      </c>
      <c r="F13" s="26" t="n">
        <v>46174</v>
      </c>
      <c r="G13" s="14">
        <f>IF(F13="","",TODAY()-F13)</f>
        <v/>
      </c>
      <c r="H13" s="26" t="n">
        <v>46328</v>
      </c>
      <c r="I13" s="15">
        <f>IF(OR(B13="",D13=""),"",D13*VLOOKUP(B13,Lookup!$A$2:$B$5,2,FALSE))</f>
        <v/>
      </c>
      <c r="J13" s="15">
        <f>IF(OR(I13="",E13=""),"",I13*E13)</f>
        <v/>
      </c>
    </row>
    <row r="14">
      <c r="A14" s="16" t="inlineStr">
        <is>
          <t>Harbor Partners</t>
        </is>
      </c>
      <c r="B14" s="16" t="inlineStr">
        <is>
          <t>Treasury Mgmt</t>
        </is>
      </c>
      <c r="C14" s="16" t="inlineStr">
        <is>
          <t>Qualified</t>
        </is>
      </c>
      <c r="D14" s="17" t="n">
        <v>118290.88</v>
      </c>
      <c r="E14" s="12" t="n">
        <v>0.2855</v>
      </c>
      <c r="F14" s="27" t="n">
        <v>46170</v>
      </c>
      <c r="G14" s="14">
        <f>IF(F14="","",TODAY()-F14)</f>
        <v/>
      </c>
      <c r="H14" s="27" t="n">
        <v>46295</v>
      </c>
      <c r="I14" s="15">
        <f>IF(OR(B14="",D14=""),"",D14*VLOOKUP(B14,Lookup!$A$2:$B$5,2,FALSE))</f>
        <v/>
      </c>
      <c r="J14" s="15">
        <f>IF(OR(I14="",E14=""),"",I14*E14)</f>
        <v/>
      </c>
      <c r="K14" s="16" t="n"/>
    </row>
    <row r="15">
      <c r="A15" t="inlineStr">
        <is>
          <t>Ironwood Capital</t>
        </is>
      </c>
      <c r="B15" t="inlineStr">
        <is>
          <t>Comm Loan</t>
        </is>
      </c>
      <c r="C15" t="inlineStr">
        <is>
          <t>Lead</t>
        </is>
      </c>
      <c r="D15" s="6" t="n">
        <v>652838.6800000001</v>
      </c>
      <c r="E15" s="12" t="n">
        <v>0.0863</v>
      </c>
      <c r="F15" s="26" t="n">
        <v>46175</v>
      </c>
      <c r="G15" s="14">
        <f>IF(F15="","",TODAY()-F15)</f>
        <v/>
      </c>
      <c r="H15" s="26" t="n">
        <v>46368</v>
      </c>
      <c r="I15" s="15">
        <f>IF(OR(B15="",D15=""),"",D15*VLOOKUP(B15,Lookup!$A$2:$B$5,2,FALSE))</f>
        <v/>
      </c>
      <c r="J15" s="15">
        <f>IF(OR(I15="",E15=""),"",I15*E15)</f>
        <v/>
      </c>
    </row>
    <row r="16">
      <c r="A16" s="16" t="inlineStr">
        <is>
          <t>Juniper Foods</t>
        </is>
      </c>
      <c r="B16" s="16" t="inlineStr">
        <is>
          <t>Comm Loan</t>
        </is>
      </c>
      <c r="C16" s="16" t="inlineStr">
        <is>
          <t>Closed</t>
        </is>
      </c>
      <c r="D16" s="17" t="n">
        <v>1212020.72</v>
      </c>
      <c r="E16" s="12" t="n">
        <v>1</v>
      </c>
      <c r="F16" s="27" t="n">
        <v>46169</v>
      </c>
      <c r="G16" s="14">
        <f>IF(F16="","",TODAY()-F16)</f>
        <v/>
      </c>
      <c r="H16" s="27" t="n">
        <v>46229</v>
      </c>
      <c r="I16" s="15">
        <f>IF(OR(B16="",D16=""),"",D16*VLOOKUP(B16,Lookup!$A$2:$B$5,2,FALSE))</f>
        <v/>
      </c>
      <c r="J16" s="15">
        <f>IF(OR(I16="",E16=""),"",I16*E16)</f>
        <v/>
      </c>
      <c r="K16" s="16" t="n"/>
    </row>
    <row r="17">
      <c r="D17" s="6" t="n"/>
      <c r="E17" s="12">
        <f>IF(C17="","",VLOOKUP(C17,Lookup!$D$2:$E$6,2,FALSE))</f>
        <v/>
      </c>
      <c r="F17" s="26" t="n"/>
      <c r="G17" s="14">
        <f>IF(F17="","",TODAY()-F17)</f>
        <v/>
      </c>
      <c r="H17" s="26" t="n"/>
      <c r="I17" s="15">
        <f>IF(OR(B17="",D17=""),"",D17*VLOOKUP(B17,Lookup!$A$2:$B$5,2,FALSE))</f>
        <v/>
      </c>
      <c r="J17" s="15">
        <f>IF(OR(I17="",E17=""),"",I17*E17)</f>
        <v/>
      </c>
    </row>
    <row r="18">
      <c r="A18" s="16" t="n"/>
      <c r="B18" s="16" t="n"/>
      <c r="C18" s="16" t="n"/>
      <c r="D18" s="17" t="n"/>
      <c r="E18" s="12">
        <f>IF(C18="","",VLOOKUP(C18,Lookup!$D$2:$E$6,2,FALSE))</f>
        <v/>
      </c>
      <c r="F18" s="27" t="n"/>
      <c r="G18" s="14">
        <f>IF(F18="","",TODAY()-F18)</f>
        <v/>
      </c>
      <c r="H18" s="27" t="n"/>
      <c r="I18" s="15">
        <f>IF(OR(B18="",D18=""),"",D18*VLOOKUP(B18,Lookup!$A$2:$B$5,2,FALSE))</f>
        <v/>
      </c>
      <c r="J18" s="15">
        <f>IF(OR(I18="",E18=""),"",I18*E18)</f>
        <v/>
      </c>
      <c r="K18" s="16" t="n"/>
    </row>
    <row r="19">
      <c r="D19" s="6" t="n"/>
      <c r="E19" s="12">
        <f>IF(C19="","",VLOOKUP(C19,Lookup!$D$2:$E$6,2,FALSE))</f>
        <v/>
      </c>
      <c r="F19" s="26" t="n"/>
      <c r="G19" s="14">
        <f>IF(F19="","",TODAY()-F19)</f>
        <v/>
      </c>
      <c r="H19" s="26" t="n"/>
      <c r="I19" s="15">
        <f>IF(OR(B19="",D19=""),"",D19*VLOOKUP(B19,Lookup!$A$2:$B$5,2,FALSE))</f>
        <v/>
      </c>
      <c r="J19" s="15">
        <f>IF(OR(I19="",E19=""),"",I19*E19)</f>
        <v/>
      </c>
    </row>
    <row r="20">
      <c r="A20" s="16" t="n"/>
      <c r="B20" s="16" t="n"/>
      <c r="C20" s="16" t="n"/>
      <c r="D20" s="17" t="n"/>
      <c r="E20" s="12">
        <f>IF(C20="","",VLOOKUP(C20,Lookup!$D$2:$E$6,2,FALSE))</f>
        <v/>
      </c>
      <c r="F20" s="27" t="n"/>
      <c r="G20" s="14">
        <f>IF(F20="","",TODAY()-F20)</f>
        <v/>
      </c>
      <c r="H20" s="27" t="n"/>
      <c r="I20" s="15">
        <f>IF(OR(B20="",D20=""),"",D20*VLOOKUP(B20,Lookup!$A$2:$B$5,2,FALSE))</f>
        <v/>
      </c>
      <c r="J20" s="15">
        <f>IF(OR(I20="",E20=""),"",I20*E20)</f>
        <v/>
      </c>
      <c r="K20" s="16" t="n"/>
    </row>
    <row r="21">
      <c r="D21" s="6" t="n"/>
      <c r="E21" s="12">
        <f>IF(C21="","",VLOOKUP(C21,Lookup!$D$2:$E$6,2,FALSE))</f>
        <v/>
      </c>
      <c r="F21" s="26" t="n"/>
      <c r="G21" s="14">
        <f>IF(F21="","",TODAY()-F21)</f>
        <v/>
      </c>
      <c r="H21" s="26" t="n"/>
      <c r="I21" s="15">
        <f>IF(OR(B21="",D21=""),"",D21*VLOOKUP(B21,Lookup!$A$2:$B$5,2,FALSE))</f>
        <v/>
      </c>
      <c r="J21" s="15">
        <f>IF(OR(I21="",E21=""),"",I21*E21)</f>
        <v/>
      </c>
    </row>
    <row r="22">
      <c r="A22" s="16" t="n"/>
      <c r="B22" s="16" t="n"/>
      <c r="C22" s="16" t="n"/>
      <c r="D22" s="17" t="n"/>
      <c r="E22" s="12">
        <f>IF(C22="","",VLOOKUP(C22,Lookup!$D$2:$E$6,2,FALSE))</f>
        <v/>
      </c>
      <c r="F22" s="27" t="n"/>
      <c r="G22" s="14">
        <f>IF(F22="","",TODAY()-F22)</f>
        <v/>
      </c>
      <c r="H22" s="27" t="n"/>
      <c r="I22" s="15">
        <f>IF(OR(B22="",D22=""),"",D22*VLOOKUP(B22,Lookup!$A$2:$B$5,2,FALSE))</f>
        <v/>
      </c>
      <c r="J22" s="15">
        <f>IF(OR(I22="",E22=""),"",I22*E22)</f>
        <v/>
      </c>
      <c r="K22" s="16" t="n"/>
    </row>
    <row r="23">
      <c r="D23" s="6" t="n"/>
      <c r="E23" s="12">
        <f>IF(C23="","",VLOOKUP(C23,Lookup!$D$2:$E$6,2,FALSE))</f>
        <v/>
      </c>
      <c r="F23" s="26" t="n"/>
      <c r="G23" s="14">
        <f>IF(F23="","",TODAY()-F23)</f>
        <v/>
      </c>
      <c r="H23" s="26" t="n"/>
      <c r="I23" s="15">
        <f>IF(OR(B23="",D23=""),"",D23*VLOOKUP(B23,Lookup!$A$2:$B$5,2,FALSE))</f>
        <v/>
      </c>
      <c r="J23" s="15">
        <f>IF(OR(I23="",E23=""),"",I23*E23)</f>
        <v/>
      </c>
    </row>
    <row r="24">
      <c r="A24" s="16" t="n"/>
      <c r="B24" s="16" t="n"/>
      <c r="C24" s="16" t="n"/>
      <c r="D24" s="17" t="n"/>
      <c r="E24" s="12">
        <f>IF(C24="","",VLOOKUP(C24,Lookup!$D$2:$E$6,2,FALSE))</f>
        <v/>
      </c>
      <c r="F24" s="27" t="n"/>
      <c r="G24" s="14">
        <f>IF(F24="","",TODAY()-F24)</f>
        <v/>
      </c>
      <c r="H24" s="27" t="n"/>
      <c r="I24" s="15">
        <f>IF(OR(B24="",D24=""),"",D24*VLOOKUP(B24,Lookup!$A$2:$B$5,2,FALSE))</f>
        <v/>
      </c>
      <c r="J24" s="15">
        <f>IF(OR(I24="",E24=""),"",I24*E24)</f>
        <v/>
      </c>
      <c r="K24" s="16" t="n"/>
    </row>
    <row r="25">
      <c r="D25" s="6" t="n"/>
      <c r="E25" s="12">
        <f>IF(C25="","",VLOOKUP(C25,Lookup!$D$2:$E$6,2,FALSE))</f>
        <v/>
      </c>
      <c r="F25" s="26" t="n"/>
      <c r="G25" s="14">
        <f>IF(F25="","",TODAY()-F25)</f>
        <v/>
      </c>
      <c r="H25" s="26" t="n"/>
      <c r="I25" s="15">
        <f>IF(OR(B25="",D25=""),"",D25*VLOOKUP(B25,Lookup!$A$2:$B$5,2,FALSE))</f>
        <v/>
      </c>
      <c r="J25" s="15">
        <f>IF(OR(I25="",E25=""),"",I25*E25)</f>
        <v/>
      </c>
    </row>
    <row r="26">
      <c r="A26" s="16" t="n"/>
      <c r="B26" s="16" t="n"/>
      <c r="C26" s="16" t="n"/>
      <c r="D26" s="17" t="n"/>
      <c r="E26" s="12">
        <f>IF(C26="","",VLOOKUP(C26,Lookup!$D$2:$E$6,2,FALSE))</f>
        <v/>
      </c>
      <c r="F26" s="27" t="n"/>
      <c r="G26" s="14">
        <f>IF(F26="","",TODAY()-F26)</f>
        <v/>
      </c>
      <c r="H26" s="27" t="n"/>
      <c r="I26" s="15">
        <f>IF(OR(B26="",D26=""),"",D26*VLOOKUP(B26,Lookup!$A$2:$B$5,2,FALSE))</f>
        <v/>
      </c>
      <c r="J26" s="15">
        <f>IF(OR(I26="",E26=""),"",I26*E26)</f>
        <v/>
      </c>
      <c r="K26" s="16" t="n"/>
    </row>
    <row r="27">
      <c r="D27" s="6" t="n"/>
      <c r="E27" s="12">
        <f>IF(C27="","",VLOOKUP(C27,Lookup!$D$2:$E$6,2,FALSE))</f>
        <v/>
      </c>
      <c r="F27" s="26" t="n"/>
      <c r="G27" s="14">
        <f>IF(F27="","",TODAY()-F27)</f>
        <v/>
      </c>
      <c r="H27" s="26" t="n"/>
      <c r="I27" s="15">
        <f>IF(OR(B27="",D27=""),"",D27*VLOOKUP(B27,Lookup!$A$2:$B$5,2,FALSE))</f>
        <v/>
      </c>
      <c r="J27" s="15">
        <f>IF(OR(I27="",E27=""),"",I27*E27)</f>
        <v/>
      </c>
    </row>
    <row r="28">
      <c r="A28" s="16" t="n"/>
      <c r="B28" s="16" t="n"/>
      <c r="C28" s="16" t="n"/>
      <c r="D28" s="17" t="n"/>
      <c r="E28" s="12">
        <f>IF(C28="","",VLOOKUP(C28,Lookup!$D$2:$E$6,2,FALSE))</f>
        <v/>
      </c>
      <c r="F28" s="27" t="n"/>
      <c r="G28" s="14">
        <f>IF(F28="","",TODAY()-F28)</f>
        <v/>
      </c>
      <c r="H28" s="27" t="n"/>
      <c r="I28" s="15">
        <f>IF(OR(B28="",D28=""),"",D28*VLOOKUP(B28,Lookup!$A$2:$B$5,2,FALSE))</f>
        <v/>
      </c>
      <c r="J28" s="15">
        <f>IF(OR(I28="",E28=""),"",I28*E28)</f>
        <v/>
      </c>
      <c r="K28" s="16" t="n"/>
    </row>
    <row r="29">
      <c r="D29" s="6" t="n"/>
      <c r="E29" s="12">
        <f>IF(C29="","",VLOOKUP(C29,Lookup!$D$2:$E$6,2,FALSE))</f>
        <v/>
      </c>
      <c r="F29" s="26" t="n"/>
      <c r="G29" s="14">
        <f>IF(F29="","",TODAY()-F29)</f>
        <v/>
      </c>
      <c r="H29" s="26" t="n"/>
      <c r="I29" s="15">
        <f>IF(OR(B29="",D29=""),"",D29*VLOOKUP(B29,Lookup!$A$2:$B$5,2,FALSE))</f>
        <v/>
      </c>
      <c r="J29" s="15">
        <f>IF(OR(I29="",E29=""),"",I29*E29)</f>
        <v/>
      </c>
    </row>
    <row r="30">
      <c r="A30" s="16" t="n"/>
      <c r="B30" s="16" t="n"/>
      <c r="C30" s="16" t="n"/>
      <c r="D30" s="17" t="n"/>
      <c r="E30" s="12">
        <f>IF(C30="","",VLOOKUP(C30,Lookup!$D$2:$E$6,2,FALSE))</f>
        <v/>
      </c>
      <c r="F30" s="27" t="n"/>
      <c r="G30" s="14">
        <f>IF(F30="","",TODAY()-F30)</f>
        <v/>
      </c>
      <c r="H30" s="27" t="n"/>
      <c r="I30" s="15">
        <f>IF(OR(B30="",D30=""),"",D30*VLOOKUP(B30,Lookup!$A$2:$B$5,2,FALSE))</f>
        <v/>
      </c>
      <c r="J30" s="15">
        <f>IF(OR(I30="",E30=""),"",I30*E30)</f>
        <v/>
      </c>
      <c r="K30" s="16" t="n"/>
    </row>
    <row r="31">
      <c r="D31" s="6" t="n"/>
      <c r="E31" s="12">
        <f>IF(C31="","",VLOOKUP(C31,Lookup!$D$2:$E$6,2,FALSE))</f>
        <v/>
      </c>
      <c r="F31" s="26" t="n"/>
      <c r="G31" s="14">
        <f>IF(F31="","",TODAY()-F31)</f>
        <v/>
      </c>
      <c r="H31" s="26" t="n"/>
      <c r="I31" s="15">
        <f>IF(OR(B31="",D31=""),"",D31*VLOOKUP(B31,Lookup!$A$2:$B$5,2,FALSE))</f>
        <v/>
      </c>
      <c r="J31" s="15">
        <f>IF(OR(I31="",E31=""),"",I31*E31)</f>
        <v/>
      </c>
    </row>
    <row r="32">
      <c r="A32" s="16" t="n"/>
      <c r="B32" s="16" t="n"/>
      <c r="C32" s="16" t="n"/>
      <c r="D32" s="17" t="n"/>
      <c r="E32" s="12">
        <f>IF(C32="","",VLOOKUP(C32,Lookup!$D$2:$E$6,2,FALSE))</f>
        <v/>
      </c>
      <c r="F32" s="27" t="n"/>
      <c r="G32" s="14">
        <f>IF(F32="","",TODAY()-F32)</f>
        <v/>
      </c>
      <c r="H32" s="27" t="n"/>
      <c r="I32" s="15">
        <f>IF(OR(B32="",D32=""),"",D32*VLOOKUP(B32,Lookup!$A$2:$B$5,2,FALSE))</f>
        <v/>
      </c>
      <c r="J32" s="15">
        <f>IF(OR(I32="",E32=""),"",I32*E32)</f>
        <v/>
      </c>
      <c r="K32" s="16" t="n"/>
    </row>
  </sheetData>
  <mergeCells count="1">
    <mergeCell ref="A1:K1"/>
  </mergeCells>
  <conditionalFormatting sqref="G3:G32">
    <cfRule type="cellIs" priority="1" operator="greaterThan" dxfId="0">
      <formula>90</formula>
    </cfRule>
    <cfRule type="cellIs" priority="2" operator="between" dxfId="1">
      <formula>61</formula>
      <formula>90</formula>
    </cfRule>
  </conditionalFormatting>
  <dataValidations count="6">
    <dataValidation sqref="B3:B32" showDropDown="0" showInputMessage="0" showErrorMessage="1" allowBlank="1" errorTitle="Invalid product" error="Pick one of: Comm Loan, Deposits, Treasury Mgmt, Other Fees" type="list">
      <formula1>=Lookup!$A$2:$A$5</formula1>
    </dataValidation>
    <dataValidation sqref="C3:C32" showDropDown="0" showInputMessage="0" showErrorMessage="1" allowBlank="1" errorTitle="Invalid stage" error="Pick one of: Lead, Qualified, Proposal, Commit, Closed" type="list">
      <formula1>=Lookup!$D$2:$D$6</formula1>
    </dataValidation>
    <dataValidation sqref="D3:D32" showDropDown="0" showInputMessage="0" showErrorMessage="0" allowBlank="1" type="decimal" operator="greaterThanOrEqual">
      <formula1>0</formula1>
    </dataValidation>
    <dataValidation sqref="E3:E32" showDropDown="0" showInputMessage="0" showErrorMessage="0" allowBlank="1" errorTitle="Invalid probability" error="Enter a decimal between 0 and 1 (e.g. 0.25 for 25%)" type="decimal" operator="between">
      <formula1>0</formula1>
      <formula2>1</formula2>
    </dataValidation>
    <dataValidation sqref="F3:F32" showDropDown="0" showInputMessage="0" showErrorMessage="0" allowBlank="1" errorTitle="Invalid date — Date Entered Stage" error="Enter a date (mm/dd/yyyy)" type="date"/>
    <dataValidation sqref="H3:H32" showDropDown="0" showInputMessage="0" showErrorMessage="0" allowBlank="1" errorTitle="Invalid date — Expected Close" error="Enter a date (mm/dd/yyyy)" type="date"/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40" customWidth="1" min="11" max="11"/>
  </cols>
  <sheetData>
    <row r="1" ht="22" customHeight="1">
      <c r="A1" s="1" t="inlineStr">
        <is>
          <t>A. Tran · Houston · Pipeline</t>
        </is>
      </c>
    </row>
    <row r="2" ht="22" customHeight="1">
      <c r="A2" s="11" t="inlineStr">
        <is>
          <t>Customer</t>
        </is>
      </c>
      <c r="B2" s="11" t="inlineStr">
        <is>
          <t>Product</t>
        </is>
      </c>
      <c r="C2" s="11" t="inlineStr">
        <is>
          <t>Stage</t>
        </is>
      </c>
      <c r="D2" s="11" t="inlineStr">
        <is>
          <t>Amount ($)</t>
        </is>
      </c>
      <c r="E2" s="11" t="inlineStr">
        <is>
          <t>Probability</t>
        </is>
      </c>
      <c r="F2" s="11" t="inlineStr">
        <is>
          <t>Date Entered Stage</t>
        </is>
      </c>
      <c r="G2" s="11" t="inlineStr">
        <is>
          <t>Days in Stage</t>
        </is>
      </c>
      <c r="H2" s="11" t="inlineStr">
        <is>
          <t>Expected Close</t>
        </is>
      </c>
      <c r="I2" s="11" t="inlineStr">
        <is>
          <t>Annual Rev ($)</t>
        </is>
      </c>
      <c r="J2" s="11" t="inlineStr">
        <is>
          <t>Weighted Rev ($)</t>
        </is>
      </c>
      <c r="K2" s="11" t="inlineStr">
        <is>
          <t>Notes</t>
        </is>
      </c>
    </row>
    <row r="3">
      <c r="A3" t="inlineStr">
        <is>
          <t>Cedar Cabinetry</t>
        </is>
      </c>
      <c r="B3" t="inlineStr">
        <is>
          <t>Comm Loan</t>
        </is>
      </c>
      <c r="C3" t="inlineStr">
        <is>
          <t>Lead</t>
        </is>
      </c>
      <c r="D3" s="6" t="n">
        <v>1005286.41</v>
      </c>
      <c r="E3" s="12" t="n">
        <v>0.0581</v>
      </c>
      <c r="F3" s="26" t="n">
        <v>46129</v>
      </c>
      <c r="G3" s="14">
        <f>IF(F3="","",TODAY()-F3)</f>
        <v/>
      </c>
      <c r="H3" s="26" t="n">
        <v>46337</v>
      </c>
      <c r="I3" s="15">
        <f>IF(OR(B3="",D3=""),"",D3*VLOOKUP(B3,Lookup!$A$2:$B$5,2,FALSE))</f>
        <v/>
      </c>
      <c r="J3" s="15">
        <f>IF(OR(I3="",E3=""),"",I3*E3)</f>
        <v/>
      </c>
    </row>
    <row r="4">
      <c r="A4" s="16" t="inlineStr">
        <is>
          <t>Driftwood Hotels</t>
        </is>
      </c>
      <c r="B4" s="16" t="inlineStr">
        <is>
          <t>Treasury Mgmt</t>
        </is>
      </c>
      <c r="C4" s="16" t="inlineStr">
        <is>
          <t>Commit</t>
        </is>
      </c>
      <c r="D4" s="17" t="n">
        <v>76930.69</v>
      </c>
      <c r="E4" s="12" t="n">
        <v>0.764</v>
      </c>
      <c r="F4" s="27" t="n">
        <v>46120</v>
      </c>
      <c r="G4" s="14">
        <f>IF(F4="","",TODAY()-F4)</f>
        <v/>
      </c>
      <c r="H4" s="27" t="n">
        <v>46269</v>
      </c>
      <c r="I4" s="15">
        <f>IF(OR(B4="",D4=""),"",D4*VLOOKUP(B4,Lookup!$A$2:$B$5,2,FALSE))</f>
        <v/>
      </c>
      <c r="J4" s="15">
        <f>IF(OR(I4="",E4=""),"",I4*E4)</f>
        <v/>
      </c>
      <c r="K4" s="16" t="n"/>
    </row>
    <row r="5">
      <c r="A5" t="inlineStr">
        <is>
          <t>Acme Holdings</t>
        </is>
      </c>
      <c r="B5" t="inlineStr">
        <is>
          <t>Comm Loan</t>
        </is>
      </c>
      <c r="C5" t="inlineStr">
        <is>
          <t>Qualified</t>
        </is>
      </c>
      <c r="D5" s="6" t="n">
        <v>8942929.720000001</v>
      </c>
      <c r="E5" s="12" t="n">
        <v>0.2501</v>
      </c>
      <c r="F5" s="26" t="n">
        <v>46163</v>
      </c>
      <c r="G5" s="14">
        <f>IF(F5="","",TODAY()-F5)</f>
        <v/>
      </c>
      <c r="H5" s="26" t="n">
        <v>46326</v>
      </c>
      <c r="I5" s="15">
        <f>IF(OR(B5="",D5=""),"",D5*VLOOKUP(B5,Lookup!$A$2:$B$5,2,FALSE))</f>
        <v/>
      </c>
      <c r="J5" s="15">
        <f>IF(OR(I5="",E5=""),"",I5*E5)</f>
        <v/>
      </c>
    </row>
    <row r="6">
      <c r="A6" s="16" t="inlineStr">
        <is>
          <t>Beacon Industries</t>
        </is>
      </c>
      <c r="B6" s="16" t="inlineStr">
        <is>
          <t>Deposits</t>
        </is>
      </c>
      <c r="C6" s="16" t="inlineStr">
        <is>
          <t>Lead</t>
        </is>
      </c>
      <c r="D6" s="17" t="n">
        <v>2437446.78</v>
      </c>
      <c r="E6" s="12" t="n">
        <v>0.1449</v>
      </c>
      <c r="F6" s="27" t="n">
        <v>46192</v>
      </c>
      <c r="G6" s="14">
        <f>IF(F6="","",TODAY()-F6)</f>
        <v/>
      </c>
      <c r="H6" s="27" t="n">
        <v>46330</v>
      </c>
      <c r="I6" s="15">
        <f>IF(OR(B6="",D6=""),"",D6*VLOOKUP(B6,Lookup!$A$2:$B$5,2,FALSE))</f>
        <v/>
      </c>
      <c r="J6" s="15">
        <f>IF(OR(I6="",E6=""),"",I6*E6)</f>
        <v/>
      </c>
      <c r="K6" s="16" t="n"/>
    </row>
    <row r="7">
      <c r="A7" t="inlineStr">
        <is>
          <t>Cypress Group</t>
        </is>
      </c>
      <c r="B7" t="inlineStr">
        <is>
          <t>Comm Loan</t>
        </is>
      </c>
      <c r="C7" t="inlineStr">
        <is>
          <t>Proposal</t>
        </is>
      </c>
      <c r="D7" s="6" t="n">
        <v>6584533.2</v>
      </c>
      <c r="E7" s="12" t="n">
        <v>0.4954</v>
      </c>
      <c r="F7" s="26" t="n">
        <v>46134</v>
      </c>
      <c r="G7" s="14">
        <f>IF(F7="","",TODAY()-F7)</f>
        <v/>
      </c>
      <c r="H7" s="26" t="n">
        <v>46298</v>
      </c>
      <c r="I7" s="15">
        <f>IF(OR(B7="",D7=""),"",D7*VLOOKUP(B7,Lookup!$A$2:$B$5,2,FALSE))</f>
        <v/>
      </c>
      <c r="J7" s="15">
        <f>IF(OR(I7="",E7=""),"",I7*E7)</f>
        <v/>
      </c>
    </row>
    <row r="8">
      <c r="A8" s="16" t="inlineStr">
        <is>
          <t>Delta Manufacturing</t>
        </is>
      </c>
      <c r="B8" s="16" t="inlineStr">
        <is>
          <t>Other Fees</t>
        </is>
      </c>
      <c r="C8" s="16" t="inlineStr">
        <is>
          <t>Qualified</t>
        </is>
      </c>
      <c r="D8" s="17" t="n">
        <v>26664.61</v>
      </c>
      <c r="E8" s="12" t="n">
        <v>0.2668</v>
      </c>
      <c r="F8" s="27" t="n">
        <v>46183</v>
      </c>
      <c r="G8" s="14">
        <f>IF(F8="","",TODAY()-F8)</f>
        <v/>
      </c>
      <c r="H8" s="27" t="n">
        <v>46350</v>
      </c>
      <c r="I8" s="15">
        <f>IF(OR(B8="",D8=""),"",D8*VLOOKUP(B8,Lookup!$A$2:$B$5,2,FALSE))</f>
        <v/>
      </c>
      <c r="J8" s="15">
        <f>IF(OR(I8="",E8=""),"",I8*E8)</f>
        <v/>
      </c>
      <c r="K8" s="16" t="n"/>
    </row>
    <row r="9">
      <c r="A9" t="inlineStr">
        <is>
          <t>Evergreen Realty</t>
        </is>
      </c>
      <c r="B9" t="inlineStr">
        <is>
          <t>Other Fees</t>
        </is>
      </c>
      <c r="C9" t="inlineStr">
        <is>
          <t>Proposal</t>
        </is>
      </c>
      <c r="D9" s="6" t="n">
        <v>67794</v>
      </c>
      <c r="E9" s="12" t="n">
        <v>0.5078</v>
      </c>
      <c r="F9" s="26" t="n">
        <v>46193</v>
      </c>
      <c r="G9" s="14">
        <f>IF(F9="","",TODAY()-F9)</f>
        <v/>
      </c>
      <c r="H9" s="26" t="n">
        <v>46274</v>
      </c>
      <c r="I9" s="15">
        <f>IF(OR(B9="",D9=""),"",D9*VLOOKUP(B9,Lookup!$A$2:$B$5,2,FALSE))</f>
        <v/>
      </c>
      <c r="J9" s="15">
        <f>IF(OR(I9="",E9=""),"",I9*E9)</f>
        <v/>
      </c>
    </row>
    <row r="10">
      <c r="A10" s="16" t="inlineStr">
        <is>
          <t>Fairfield Energy</t>
        </is>
      </c>
      <c r="B10" s="16" t="inlineStr">
        <is>
          <t>Deposits</t>
        </is>
      </c>
      <c r="C10" s="16" t="inlineStr">
        <is>
          <t>Closed</t>
        </is>
      </c>
      <c r="D10" s="17" t="n">
        <v>713863.45</v>
      </c>
      <c r="E10" s="12" t="n">
        <v>1</v>
      </c>
      <c r="F10" s="27" t="n">
        <v>46164</v>
      </c>
      <c r="G10" s="14">
        <f>IF(F10="","",TODAY()-F10)</f>
        <v/>
      </c>
      <c r="H10" s="27" t="n">
        <v>46228</v>
      </c>
      <c r="I10" s="15">
        <f>IF(OR(B10="",D10=""),"",D10*VLOOKUP(B10,Lookup!$A$2:$B$5,2,FALSE))</f>
        <v/>
      </c>
      <c r="J10" s="15">
        <f>IF(OR(I10="",E10=""),"",I10*E10)</f>
        <v/>
      </c>
      <c r="K10" s="16" t="n"/>
    </row>
    <row r="11">
      <c r="A11" t="inlineStr">
        <is>
          <t>Galleon Logistics</t>
        </is>
      </c>
      <c r="B11" t="inlineStr">
        <is>
          <t>Comm Loan</t>
        </is>
      </c>
      <c r="C11" t="inlineStr">
        <is>
          <t>Proposal</t>
        </is>
      </c>
      <c r="D11" s="6" t="n">
        <v>4952275.33</v>
      </c>
      <c r="E11" s="12" t="n">
        <v>0.5301</v>
      </c>
      <c r="F11" s="26" t="n">
        <v>46191</v>
      </c>
      <c r="G11" s="14">
        <f>IF(F11="","",TODAY()-F11)</f>
        <v/>
      </c>
      <c r="H11" s="26" t="n">
        <v>46313</v>
      </c>
      <c r="I11" s="15">
        <f>IF(OR(B11="",D11=""),"",D11*VLOOKUP(B11,Lookup!$A$2:$B$5,2,FALSE))</f>
        <v/>
      </c>
      <c r="J11" s="15">
        <f>IF(OR(I11="",E11=""),"",I11*E11)</f>
        <v/>
      </c>
    </row>
    <row r="12">
      <c r="A12" s="16" t="inlineStr">
        <is>
          <t>Harbor Partners</t>
        </is>
      </c>
      <c r="B12" s="16" t="inlineStr">
        <is>
          <t>Comm Loan</t>
        </is>
      </c>
      <c r="C12" s="16" t="inlineStr">
        <is>
          <t>Lead</t>
        </is>
      </c>
      <c r="D12" s="17" t="n">
        <v>16637851.99</v>
      </c>
      <c r="E12" s="12" t="n">
        <v>0.1183</v>
      </c>
      <c r="F12" s="27" t="n">
        <v>46145</v>
      </c>
      <c r="G12" s="14">
        <f>IF(F12="","",TODAY()-F12)</f>
        <v/>
      </c>
      <c r="H12" s="27" t="n">
        <v>46370</v>
      </c>
      <c r="I12" s="15">
        <f>IF(OR(B12="",D12=""),"",D12*VLOOKUP(B12,Lookup!$A$2:$B$5,2,FALSE))</f>
        <v/>
      </c>
      <c r="J12" s="15">
        <f>IF(OR(I12="",E12=""),"",I12*E12)</f>
        <v/>
      </c>
      <c r="K12" s="16" t="n"/>
    </row>
    <row r="13">
      <c r="A13" t="inlineStr">
        <is>
          <t>Harbor Partners</t>
        </is>
      </c>
      <c r="B13" t="inlineStr">
        <is>
          <t>Deposits</t>
        </is>
      </c>
      <c r="C13" t="inlineStr">
        <is>
          <t>Lead</t>
        </is>
      </c>
      <c r="D13" s="6" t="n">
        <v>2865543.02</v>
      </c>
      <c r="E13" s="12" t="n">
        <v>0.1356</v>
      </c>
      <c r="F13" s="26" t="n">
        <v>46138</v>
      </c>
      <c r="G13" s="14">
        <f>IF(F13="","",TODAY()-F13)</f>
        <v/>
      </c>
      <c r="H13" s="26" t="n">
        <v>46326</v>
      </c>
      <c r="I13" s="15">
        <f>IF(OR(B13="",D13=""),"",D13*VLOOKUP(B13,Lookup!$A$2:$B$5,2,FALSE))</f>
        <v/>
      </c>
      <c r="J13" s="15">
        <f>IF(OR(I13="",E13=""),"",I13*E13)</f>
        <v/>
      </c>
    </row>
    <row r="14">
      <c r="A14" s="16" t="n"/>
      <c r="B14" s="16" t="n"/>
      <c r="C14" s="16" t="n"/>
      <c r="D14" s="17" t="n"/>
      <c r="E14" s="12">
        <f>IF(C14="","",VLOOKUP(C14,Lookup!$D$2:$E$6,2,FALSE))</f>
        <v/>
      </c>
      <c r="F14" s="27" t="n"/>
      <c r="G14" s="14">
        <f>IF(F14="","",TODAY()-F14)</f>
        <v/>
      </c>
      <c r="H14" s="27" t="n"/>
      <c r="I14" s="15">
        <f>IF(OR(B14="",D14=""),"",D14*VLOOKUP(B14,Lookup!$A$2:$B$5,2,FALSE))</f>
        <v/>
      </c>
      <c r="J14" s="15">
        <f>IF(OR(I14="",E14=""),"",I14*E14)</f>
        <v/>
      </c>
      <c r="K14" s="16" t="n"/>
    </row>
    <row r="15">
      <c r="D15" s="6" t="n"/>
      <c r="E15" s="12">
        <f>IF(C15="","",VLOOKUP(C15,Lookup!$D$2:$E$6,2,FALSE))</f>
        <v/>
      </c>
      <c r="F15" s="26" t="n"/>
      <c r="G15" s="14">
        <f>IF(F15="","",TODAY()-F15)</f>
        <v/>
      </c>
      <c r="H15" s="26" t="n"/>
      <c r="I15" s="15">
        <f>IF(OR(B15="",D15=""),"",D15*VLOOKUP(B15,Lookup!$A$2:$B$5,2,FALSE))</f>
        <v/>
      </c>
      <c r="J15" s="15">
        <f>IF(OR(I15="",E15=""),"",I15*E15)</f>
        <v/>
      </c>
    </row>
    <row r="16">
      <c r="A16" s="16" t="n"/>
      <c r="B16" s="16" t="n"/>
      <c r="C16" s="16" t="n"/>
      <c r="D16" s="17" t="n"/>
      <c r="E16" s="12">
        <f>IF(C16="","",VLOOKUP(C16,Lookup!$D$2:$E$6,2,FALSE))</f>
        <v/>
      </c>
      <c r="F16" s="27" t="n"/>
      <c r="G16" s="14">
        <f>IF(F16="","",TODAY()-F16)</f>
        <v/>
      </c>
      <c r="H16" s="27" t="n"/>
      <c r="I16" s="15">
        <f>IF(OR(B16="",D16=""),"",D16*VLOOKUP(B16,Lookup!$A$2:$B$5,2,FALSE))</f>
        <v/>
      </c>
      <c r="J16" s="15">
        <f>IF(OR(I16="",E16=""),"",I16*E16)</f>
        <v/>
      </c>
      <c r="K16" s="16" t="n"/>
    </row>
    <row r="17">
      <c r="D17" s="6" t="n"/>
      <c r="E17" s="12">
        <f>IF(C17="","",VLOOKUP(C17,Lookup!$D$2:$E$6,2,FALSE))</f>
        <v/>
      </c>
      <c r="F17" s="26" t="n"/>
      <c r="G17" s="14">
        <f>IF(F17="","",TODAY()-F17)</f>
        <v/>
      </c>
      <c r="H17" s="26" t="n"/>
      <c r="I17" s="15">
        <f>IF(OR(B17="",D17=""),"",D17*VLOOKUP(B17,Lookup!$A$2:$B$5,2,FALSE))</f>
        <v/>
      </c>
      <c r="J17" s="15">
        <f>IF(OR(I17="",E17=""),"",I17*E17)</f>
        <v/>
      </c>
    </row>
    <row r="18">
      <c r="A18" s="16" t="n"/>
      <c r="B18" s="16" t="n"/>
      <c r="C18" s="16" t="n"/>
      <c r="D18" s="17" t="n"/>
      <c r="E18" s="12">
        <f>IF(C18="","",VLOOKUP(C18,Lookup!$D$2:$E$6,2,FALSE))</f>
        <v/>
      </c>
      <c r="F18" s="27" t="n"/>
      <c r="G18" s="14">
        <f>IF(F18="","",TODAY()-F18)</f>
        <v/>
      </c>
      <c r="H18" s="27" t="n"/>
      <c r="I18" s="15">
        <f>IF(OR(B18="",D18=""),"",D18*VLOOKUP(B18,Lookup!$A$2:$B$5,2,FALSE))</f>
        <v/>
      </c>
      <c r="J18" s="15">
        <f>IF(OR(I18="",E18=""),"",I18*E18)</f>
        <v/>
      </c>
      <c r="K18" s="16" t="n"/>
    </row>
    <row r="19">
      <c r="D19" s="6" t="n"/>
      <c r="E19" s="12">
        <f>IF(C19="","",VLOOKUP(C19,Lookup!$D$2:$E$6,2,FALSE))</f>
        <v/>
      </c>
      <c r="F19" s="26" t="n"/>
      <c r="G19" s="14">
        <f>IF(F19="","",TODAY()-F19)</f>
        <v/>
      </c>
      <c r="H19" s="26" t="n"/>
      <c r="I19" s="15">
        <f>IF(OR(B19="",D19=""),"",D19*VLOOKUP(B19,Lookup!$A$2:$B$5,2,FALSE))</f>
        <v/>
      </c>
      <c r="J19" s="15">
        <f>IF(OR(I19="",E19=""),"",I19*E19)</f>
        <v/>
      </c>
    </row>
    <row r="20">
      <c r="A20" s="16" t="n"/>
      <c r="B20" s="16" t="n"/>
      <c r="C20" s="16" t="n"/>
      <c r="D20" s="17" t="n"/>
      <c r="E20" s="12">
        <f>IF(C20="","",VLOOKUP(C20,Lookup!$D$2:$E$6,2,FALSE))</f>
        <v/>
      </c>
      <c r="F20" s="27" t="n"/>
      <c r="G20" s="14">
        <f>IF(F20="","",TODAY()-F20)</f>
        <v/>
      </c>
      <c r="H20" s="27" t="n"/>
      <c r="I20" s="15">
        <f>IF(OR(B20="",D20=""),"",D20*VLOOKUP(B20,Lookup!$A$2:$B$5,2,FALSE))</f>
        <v/>
      </c>
      <c r="J20" s="15">
        <f>IF(OR(I20="",E20=""),"",I20*E20)</f>
        <v/>
      </c>
      <c r="K20" s="16" t="n"/>
    </row>
    <row r="21">
      <c r="D21" s="6" t="n"/>
      <c r="E21" s="12">
        <f>IF(C21="","",VLOOKUP(C21,Lookup!$D$2:$E$6,2,FALSE))</f>
        <v/>
      </c>
      <c r="F21" s="26" t="n"/>
      <c r="G21" s="14">
        <f>IF(F21="","",TODAY()-F21)</f>
        <v/>
      </c>
      <c r="H21" s="26" t="n"/>
      <c r="I21" s="15">
        <f>IF(OR(B21="",D21=""),"",D21*VLOOKUP(B21,Lookup!$A$2:$B$5,2,FALSE))</f>
        <v/>
      </c>
      <c r="J21" s="15">
        <f>IF(OR(I21="",E21=""),"",I21*E21)</f>
        <v/>
      </c>
    </row>
    <row r="22">
      <c r="A22" s="16" t="n"/>
      <c r="B22" s="16" t="n"/>
      <c r="C22" s="16" t="n"/>
      <c r="D22" s="17" t="n"/>
      <c r="E22" s="12">
        <f>IF(C22="","",VLOOKUP(C22,Lookup!$D$2:$E$6,2,FALSE))</f>
        <v/>
      </c>
      <c r="F22" s="27" t="n"/>
      <c r="G22" s="14">
        <f>IF(F22="","",TODAY()-F22)</f>
        <v/>
      </c>
      <c r="H22" s="27" t="n"/>
      <c r="I22" s="15">
        <f>IF(OR(B22="",D22=""),"",D22*VLOOKUP(B22,Lookup!$A$2:$B$5,2,FALSE))</f>
        <v/>
      </c>
      <c r="J22" s="15">
        <f>IF(OR(I22="",E22=""),"",I22*E22)</f>
        <v/>
      </c>
      <c r="K22" s="16" t="n"/>
    </row>
    <row r="23">
      <c r="D23" s="6" t="n"/>
      <c r="E23" s="12">
        <f>IF(C23="","",VLOOKUP(C23,Lookup!$D$2:$E$6,2,FALSE))</f>
        <v/>
      </c>
      <c r="F23" s="26" t="n"/>
      <c r="G23" s="14">
        <f>IF(F23="","",TODAY()-F23)</f>
        <v/>
      </c>
      <c r="H23" s="26" t="n"/>
      <c r="I23" s="15">
        <f>IF(OR(B23="",D23=""),"",D23*VLOOKUP(B23,Lookup!$A$2:$B$5,2,FALSE))</f>
        <v/>
      </c>
      <c r="J23" s="15">
        <f>IF(OR(I23="",E23=""),"",I23*E23)</f>
        <v/>
      </c>
    </row>
    <row r="24">
      <c r="A24" s="16" t="n"/>
      <c r="B24" s="16" t="n"/>
      <c r="C24" s="16" t="n"/>
      <c r="D24" s="17" t="n"/>
      <c r="E24" s="12">
        <f>IF(C24="","",VLOOKUP(C24,Lookup!$D$2:$E$6,2,FALSE))</f>
        <v/>
      </c>
      <c r="F24" s="27" t="n"/>
      <c r="G24" s="14">
        <f>IF(F24="","",TODAY()-F24)</f>
        <v/>
      </c>
      <c r="H24" s="27" t="n"/>
      <c r="I24" s="15">
        <f>IF(OR(B24="",D24=""),"",D24*VLOOKUP(B24,Lookup!$A$2:$B$5,2,FALSE))</f>
        <v/>
      </c>
      <c r="J24" s="15">
        <f>IF(OR(I24="",E24=""),"",I24*E24)</f>
        <v/>
      </c>
      <c r="K24" s="16" t="n"/>
    </row>
    <row r="25">
      <c r="D25" s="6" t="n"/>
      <c r="E25" s="12">
        <f>IF(C25="","",VLOOKUP(C25,Lookup!$D$2:$E$6,2,FALSE))</f>
        <v/>
      </c>
      <c r="F25" s="26" t="n"/>
      <c r="G25" s="14">
        <f>IF(F25="","",TODAY()-F25)</f>
        <v/>
      </c>
      <c r="H25" s="26" t="n"/>
      <c r="I25" s="15">
        <f>IF(OR(B25="",D25=""),"",D25*VLOOKUP(B25,Lookup!$A$2:$B$5,2,FALSE))</f>
        <v/>
      </c>
      <c r="J25" s="15">
        <f>IF(OR(I25="",E25=""),"",I25*E25)</f>
        <v/>
      </c>
    </row>
    <row r="26">
      <c r="A26" s="16" t="n"/>
      <c r="B26" s="16" t="n"/>
      <c r="C26" s="16" t="n"/>
      <c r="D26" s="17" t="n"/>
      <c r="E26" s="12">
        <f>IF(C26="","",VLOOKUP(C26,Lookup!$D$2:$E$6,2,FALSE))</f>
        <v/>
      </c>
      <c r="F26" s="27" t="n"/>
      <c r="G26" s="14">
        <f>IF(F26="","",TODAY()-F26)</f>
        <v/>
      </c>
      <c r="H26" s="27" t="n"/>
      <c r="I26" s="15">
        <f>IF(OR(B26="",D26=""),"",D26*VLOOKUP(B26,Lookup!$A$2:$B$5,2,FALSE))</f>
        <v/>
      </c>
      <c r="J26" s="15">
        <f>IF(OR(I26="",E26=""),"",I26*E26)</f>
        <v/>
      </c>
      <c r="K26" s="16" t="n"/>
    </row>
    <row r="27">
      <c r="D27" s="6" t="n"/>
      <c r="E27" s="12">
        <f>IF(C27="","",VLOOKUP(C27,Lookup!$D$2:$E$6,2,FALSE))</f>
        <v/>
      </c>
      <c r="F27" s="26" t="n"/>
      <c r="G27" s="14">
        <f>IF(F27="","",TODAY()-F27)</f>
        <v/>
      </c>
      <c r="H27" s="26" t="n"/>
      <c r="I27" s="15">
        <f>IF(OR(B27="",D27=""),"",D27*VLOOKUP(B27,Lookup!$A$2:$B$5,2,FALSE))</f>
        <v/>
      </c>
      <c r="J27" s="15">
        <f>IF(OR(I27="",E27=""),"",I27*E27)</f>
        <v/>
      </c>
    </row>
    <row r="28">
      <c r="A28" s="16" t="n"/>
      <c r="B28" s="16" t="n"/>
      <c r="C28" s="16" t="n"/>
      <c r="D28" s="17" t="n"/>
      <c r="E28" s="12">
        <f>IF(C28="","",VLOOKUP(C28,Lookup!$D$2:$E$6,2,FALSE))</f>
        <v/>
      </c>
      <c r="F28" s="27" t="n"/>
      <c r="G28" s="14">
        <f>IF(F28="","",TODAY()-F28)</f>
        <v/>
      </c>
      <c r="H28" s="27" t="n"/>
      <c r="I28" s="15">
        <f>IF(OR(B28="",D28=""),"",D28*VLOOKUP(B28,Lookup!$A$2:$B$5,2,FALSE))</f>
        <v/>
      </c>
      <c r="J28" s="15">
        <f>IF(OR(I28="",E28=""),"",I28*E28)</f>
        <v/>
      </c>
      <c r="K28" s="16" t="n"/>
    </row>
    <row r="29">
      <c r="D29" s="6" t="n"/>
      <c r="E29" s="12">
        <f>IF(C29="","",VLOOKUP(C29,Lookup!$D$2:$E$6,2,FALSE))</f>
        <v/>
      </c>
      <c r="F29" s="26" t="n"/>
      <c r="G29" s="14">
        <f>IF(F29="","",TODAY()-F29)</f>
        <v/>
      </c>
      <c r="H29" s="26" t="n"/>
      <c r="I29" s="15">
        <f>IF(OR(B29="",D29=""),"",D29*VLOOKUP(B29,Lookup!$A$2:$B$5,2,FALSE))</f>
        <v/>
      </c>
      <c r="J29" s="15">
        <f>IF(OR(I29="",E29=""),"",I29*E29)</f>
        <v/>
      </c>
    </row>
    <row r="30">
      <c r="A30" s="16" t="n"/>
      <c r="B30" s="16" t="n"/>
      <c r="C30" s="16" t="n"/>
      <c r="D30" s="17" t="n"/>
      <c r="E30" s="12">
        <f>IF(C30="","",VLOOKUP(C30,Lookup!$D$2:$E$6,2,FALSE))</f>
        <v/>
      </c>
      <c r="F30" s="27" t="n"/>
      <c r="G30" s="14">
        <f>IF(F30="","",TODAY()-F30)</f>
        <v/>
      </c>
      <c r="H30" s="27" t="n"/>
      <c r="I30" s="15">
        <f>IF(OR(B30="",D30=""),"",D30*VLOOKUP(B30,Lookup!$A$2:$B$5,2,FALSE))</f>
        <v/>
      </c>
      <c r="J30" s="15">
        <f>IF(OR(I30="",E30=""),"",I30*E30)</f>
        <v/>
      </c>
      <c r="K30" s="16" t="n"/>
    </row>
    <row r="31">
      <c r="D31" s="6" t="n"/>
      <c r="E31" s="12">
        <f>IF(C31="","",VLOOKUP(C31,Lookup!$D$2:$E$6,2,FALSE))</f>
        <v/>
      </c>
      <c r="F31" s="26" t="n"/>
      <c r="G31" s="14">
        <f>IF(F31="","",TODAY()-F31)</f>
        <v/>
      </c>
      <c r="H31" s="26" t="n"/>
      <c r="I31" s="15">
        <f>IF(OR(B31="",D31=""),"",D31*VLOOKUP(B31,Lookup!$A$2:$B$5,2,FALSE))</f>
        <v/>
      </c>
      <c r="J31" s="15">
        <f>IF(OR(I31="",E31=""),"",I31*E31)</f>
        <v/>
      </c>
    </row>
    <row r="32">
      <c r="A32" s="16" t="n"/>
      <c r="B32" s="16" t="n"/>
      <c r="C32" s="16" t="n"/>
      <c r="D32" s="17" t="n"/>
      <c r="E32" s="12">
        <f>IF(C32="","",VLOOKUP(C32,Lookup!$D$2:$E$6,2,FALSE))</f>
        <v/>
      </c>
      <c r="F32" s="27" t="n"/>
      <c r="G32" s="14">
        <f>IF(F32="","",TODAY()-F32)</f>
        <v/>
      </c>
      <c r="H32" s="27" t="n"/>
      <c r="I32" s="15">
        <f>IF(OR(B32="",D32=""),"",D32*VLOOKUP(B32,Lookup!$A$2:$B$5,2,FALSE))</f>
        <v/>
      </c>
      <c r="J32" s="15">
        <f>IF(OR(I32="",E32=""),"",I32*E32)</f>
        <v/>
      </c>
      <c r="K32" s="16" t="n"/>
    </row>
  </sheetData>
  <mergeCells count="1">
    <mergeCell ref="A1:K1"/>
  </mergeCells>
  <conditionalFormatting sqref="G3:G32">
    <cfRule type="cellIs" priority="1" operator="greaterThan" dxfId="0">
      <formula>90</formula>
    </cfRule>
    <cfRule type="cellIs" priority="2" operator="between" dxfId="1">
      <formula>61</formula>
      <formula>90</formula>
    </cfRule>
  </conditionalFormatting>
  <dataValidations count="6">
    <dataValidation sqref="B3:B32" showDropDown="0" showInputMessage="0" showErrorMessage="1" allowBlank="1" errorTitle="Invalid product" error="Pick one of: Comm Loan, Deposits, Treasury Mgmt, Other Fees" type="list">
      <formula1>=Lookup!$A$2:$A$5</formula1>
    </dataValidation>
    <dataValidation sqref="C3:C32" showDropDown="0" showInputMessage="0" showErrorMessage="1" allowBlank="1" errorTitle="Invalid stage" error="Pick one of: Lead, Qualified, Proposal, Commit, Closed" type="list">
      <formula1>=Lookup!$D$2:$D$6</formula1>
    </dataValidation>
    <dataValidation sqref="D3:D32" showDropDown="0" showInputMessage="0" showErrorMessage="0" allowBlank="1" type="decimal" operator="greaterThanOrEqual">
      <formula1>0</formula1>
    </dataValidation>
    <dataValidation sqref="E3:E32" showDropDown="0" showInputMessage="0" showErrorMessage="0" allowBlank="1" errorTitle="Invalid probability" error="Enter a decimal between 0 and 1 (e.g. 0.25 for 25%)" type="decimal" operator="between">
      <formula1>0</formula1>
      <formula2>1</formula2>
    </dataValidation>
    <dataValidation sqref="F3:F32" showDropDown="0" showInputMessage="0" showErrorMessage="0" allowBlank="1" errorTitle="Invalid date — Date Entered Stage" error="Enter a date (mm/dd/yyyy)" type="date"/>
    <dataValidation sqref="H3:H32" showDropDown="0" showInputMessage="0" showErrorMessage="0" allowBlank="1" errorTitle="Invalid date — Expected Close" error="Enter a date (mm/dd/yyyy)" type="date"/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40" customWidth="1" min="11" max="11"/>
  </cols>
  <sheetData>
    <row r="1" ht="22" customHeight="1">
      <c r="A1" s="1" t="inlineStr">
        <is>
          <t>K. Williams · Houston · Pipeline</t>
        </is>
      </c>
    </row>
    <row r="2" ht="22" customHeight="1">
      <c r="A2" s="11" t="inlineStr">
        <is>
          <t>Customer</t>
        </is>
      </c>
      <c r="B2" s="11" t="inlineStr">
        <is>
          <t>Product</t>
        </is>
      </c>
      <c r="C2" s="11" t="inlineStr">
        <is>
          <t>Stage</t>
        </is>
      </c>
      <c r="D2" s="11" t="inlineStr">
        <is>
          <t>Amount ($)</t>
        </is>
      </c>
      <c r="E2" s="11" t="inlineStr">
        <is>
          <t>Probability</t>
        </is>
      </c>
      <c r="F2" s="11" t="inlineStr">
        <is>
          <t>Date Entered Stage</t>
        </is>
      </c>
      <c r="G2" s="11" t="inlineStr">
        <is>
          <t>Days in Stage</t>
        </is>
      </c>
      <c r="H2" s="11" t="inlineStr">
        <is>
          <t>Expected Close</t>
        </is>
      </c>
      <c r="I2" s="11" t="inlineStr">
        <is>
          <t>Annual Rev ($)</t>
        </is>
      </c>
      <c r="J2" s="11" t="inlineStr">
        <is>
          <t>Weighted Rev ($)</t>
        </is>
      </c>
      <c r="K2" s="11" t="inlineStr">
        <is>
          <t>Notes</t>
        </is>
      </c>
    </row>
    <row r="3">
      <c r="A3" t="inlineStr">
        <is>
          <t>Harbor Partners</t>
        </is>
      </c>
      <c r="B3" t="inlineStr">
        <is>
          <t>Comm Loan</t>
        </is>
      </c>
      <c r="C3" t="inlineStr">
        <is>
          <t>Lead</t>
        </is>
      </c>
      <c r="D3" s="6" t="n">
        <v>15724903.49</v>
      </c>
      <c r="E3" s="12" t="n">
        <v>0.0583</v>
      </c>
      <c r="F3" s="26" t="n">
        <v>46126</v>
      </c>
      <c r="G3" s="14">
        <f>IF(F3="","",TODAY()-F3)</f>
        <v/>
      </c>
      <c r="H3" s="26" t="n">
        <v>46378</v>
      </c>
      <c r="I3" s="15">
        <f>IF(OR(B3="",D3=""),"",D3*VLOOKUP(B3,Lookup!$A$2:$B$5,2,FALSE))</f>
        <v/>
      </c>
      <c r="J3" s="15">
        <f>IF(OR(I3="",E3=""),"",I3*E3)</f>
        <v/>
      </c>
    </row>
    <row r="4">
      <c r="A4" s="16" t="inlineStr">
        <is>
          <t>Ironwood Capital</t>
        </is>
      </c>
      <c r="B4" s="16" t="inlineStr">
        <is>
          <t>Deposits</t>
        </is>
      </c>
      <c r="C4" s="16" t="inlineStr">
        <is>
          <t>Lead</t>
        </is>
      </c>
      <c r="D4" s="17" t="n">
        <v>933487.87</v>
      </c>
      <c r="E4" s="12" t="n">
        <v>0.1089</v>
      </c>
      <c r="F4" s="27" t="n">
        <v>46139</v>
      </c>
      <c r="G4" s="14">
        <f>IF(F4="","",TODAY()-F4)</f>
        <v/>
      </c>
      <c r="H4" s="27" t="n">
        <v>46375</v>
      </c>
      <c r="I4" s="15">
        <f>IF(OR(B4="",D4=""),"",D4*VLOOKUP(B4,Lookup!$A$2:$B$5,2,FALSE))</f>
        <v/>
      </c>
      <c r="J4" s="15">
        <f>IF(OR(I4="",E4=""),"",I4*E4)</f>
        <v/>
      </c>
      <c r="K4" s="16" t="n"/>
    </row>
    <row r="5">
      <c r="A5" t="inlineStr">
        <is>
          <t>Juniper Foods</t>
        </is>
      </c>
      <c r="B5" t="inlineStr">
        <is>
          <t>Comm Loan</t>
        </is>
      </c>
      <c r="C5" t="inlineStr">
        <is>
          <t>Proposal</t>
        </is>
      </c>
      <c r="D5" s="6" t="n">
        <v>779233.08</v>
      </c>
      <c r="E5" s="12" t="n">
        <v>0.4508</v>
      </c>
      <c r="F5" s="26" t="n">
        <v>46100</v>
      </c>
      <c r="G5" s="14">
        <f>IF(F5="","",TODAY()-F5)</f>
        <v/>
      </c>
      <c r="H5" s="26" t="n">
        <v>46276</v>
      </c>
      <c r="I5" s="15">
        <f>IF(OR(B5="",D5=""),"",D5*VLOOKUP(B5,Lookup!$A$2:$B$5,2,FALSE))</f>
        <v/>
      </c>
      <c r="J5" s="15">
        <f>IF(OR(I5="",E5=""),"",I5*E5)</f>
        <v/>
      </c>
    </row>
    <row r="6">
      <c r="A6" s="16" t="inlineStr">
        <is>
          <t>Keystone Steel</t>
        </is>
      </c>
      <c r="B6" s="16" t="inlineStr">
        <is>
          <t>Comm Loan</t>
        </is>
      </c>
      <c r="C6" s="16" t="inlineStr">
        <is>
          <t>Qualified</t>
        </is>
      </c>
      <c r="D6" s="17" t="n">
        <v>2585647.29</v>
      </c>
      <c r="E6" s="12" t="n">
        <v>0.2363</v>
      </c>
      <c r="F6" s="27" t="n">
        <v>46114</v>
      </c>
      <c r="G6" s="14">
        <f>IF(F6="","",TODAY()-F6)</f>
        <v/>
      </c>
      <c r="H6" s="27" t="n">
        <v>46314</v>
      </c>
      <c r="I6" s="15">
        <f>IF(OR(B6="",D6=""),"",D6*VLOOKUP(B6,Lookup!$A$2:$B$5,2,FALSE))</f>
        <v/>
      </c>
      <c r="J6" s="15">
        <f>IF(OR(I6="",E6=""),"",I6*E6)</f>
        <v/>
      </c>
      <c r="K6" s="16" t="n"/>
    </row>
    <row r="7">
      <c r="A7" t="inlineStr">
        <is>
          <t>Lakeside Medical</t>
        </is>
      </c>
      <c r="B7" t="inlineStr">
        <is>
          <t>Comm Loan</t>
        </is>
      </c>
      <c r="C7" t="inlineStr">
        <is>
          <t>Qualified</t>
        </is>
      </c>
      <c r="D7" s="6" t="n">
        <v>5200728.88</v>
      </c>
      <c r="E7" s="12" t="n">
        <v>0.2737</v>
      </c>
      <c r="F7" s="26" t="n">
        <v>46171</v>
      </c>
      <c r="G7" s="14">
        <f>IF(F7="","",TODAY()-F7)</f>
        <v/>
      </c>
      <c r="H7" s="26" t="n">
        <v>46310</v>
      </c>
      <c r="I7" s="15">
        <f>IF(OR(B7="",D7=""),"",D7*VLOOKUP(B7,Lookup!$A$2:$B$5,2,FALSE))</f>
        <v/>
      </c>
      <c r="J7" s="15">
        <f>IF(OR(I7="",E7=""),"",I7*E7)</f>
        <v/>
      </c>
    </row>
    <row r="8">
      <c r="A8" s="16" t="inlineStr">
        <is>
          <t>Mason &amp; Co.</t>
        </is>
      </c>
      <c r="B8" s="16" t="inlineStr">
        <is>
          <t>Other Fees</t>
        </is>
      </c>
      <c r="C8" s="16" t="inlineStr">
        <is>
          <t>Lead</t>
        </is>
      </c>
      <c r="D8" s="17" t="n">
        <v>22812.17</v>
      </c>
      <c r="E8" s="12" t="n">
        <v>0.0764</v>
      </c>
      <c r="F8" s="27" t="n">
        <v>46033</v>
      </c>
      <c r="G8" s="14">
        <f>IF(F8="","",TODAY()-F8)</f>
        <v/>
      </c>
      <c r="H8" s="27" t="n">
        <v>46383</v>
      </c>
      <c r="I8" s="15">
        <f>IF(OR(B8="",D8=""),"",D8*VLOOKUP(B8,Lookup!$A$2:$B$5,2,FALSE))</f>
        <v/>
      </c>
      <c r="J8" s="15">
        <f>IF(OR(I8="",E8=""),"",I8*E8)</f>
        <v/>
      </c>
      <c r="K8" s="16" t="n"/>
    </row>
    <row r="9">
      <c r="A9" t="inlineStr">
        <is>
          <t>Northstar Tech</t>
        </is>
      </c>
      <c r="B9" t="inlineStr">
        <is>
          <t>Comm Loan</t>
        </is>
      </c>
      <c r="C9" t="inlineStr">
        <is>
          <t>Lead</t>
        </is>
      </c>
      <c r="D9" s="6" t="n">
        <v>7356362.08</v>
      </c>
      <c r="E9" s="12" t="n">
        <v>0.08740000000000001</v>
      </c>
      <c r="F9" s="26" t="n">
        <v>46188</v>
      </c>
      <c r="G9" s="14">
        <f>IF(F9="","",TODAY()-F9)</f>
        <v/>
      </c>
      <c r="H9" s="26" t="n">
        <v>46377</v>
      </c>
      <c r="I9" s="15">
        <f>IF(OR(B9="",D9=""),"",D9*VLOOKUP(B9,Lookup!$A$2:$B$5,2,FALSE))</f>
        <v/>
      </c>
      <c r="J9" s="15">
        <f>IF(OR(I9="",E9=""),"",I9*E9)</f>
        <v/>
      </c>
    </row>
    <row r="10">
      <c r="A10" s="16" t="n"/>
      <c r="B10" s="16" t="n"/>
      <c r="C10" s="16" t="n"/>
      <c r="D10" s="17" t="n"/>
      <c r="E10" s="12">
        <f>IF(C10="","",VLOOKUP(C10,Lookup!$D$2:$E$6,2,FALSE))</f>
        <v/>
      </c>
      <c r="F10" s="27" t="n"/>
      <c r="G10" s="14">
        <f>IF(F10="","",TODAY()-F10)</f>
        <v/>
      </c>
      <c r="H10" s="27" t="n"/>
      <c r="I10" s="15">
        <f>IF(OR(B10="",D10=""),"",D10*VLOOKUP(B10,Lookup!$A$2:$B$5,2,FALSE))</f>
        <v/>
      </c>
      <c r="J10" s="15">
        <f>IF(OR(I10="",E10=""),"",I10*E10)</f>
        <v/>
      </c>
      <c r="K10" s="16" t="n"/>
    </row>
    <row r="11">
      <c r="D11" s="6" t="n"/>
      <c r="E11" s="12">
        <f>IF(C11="","",VLOOKUP(C11,Lookup!$D$2:$E$6,2,FALSE))</f>
        <v/>
      </c>
      <c r="F11" s="26" t="n"/>
      <c r="G11" s="14">
        <f>IF(F11="","",TODAY()-F11)</f>
        <v/>
      </c>
      <c r="H11" s="26" t="n"/>
      <c r="I11" s="15">
        <f>IF(OR(B11="",D11=""),"",D11*VLOOKUP(B11,Lookup!$A$2:$B$5,2,FALSE))</f>
        <v/>
      </c>
      <c r="J11" s="15">
        <f>IF(OR(I11="",E11=""),"",I11*E11)</f>
        <v/>
      </c>
    </row>
    <row r="12">
      <c r="A12" s="16" t="n"/>
      <c r="B12" s="16" t="n"/>
      <c r="C12" s="16" t="n"/>
      <c r="D12" s="17" t="n"/>
      <c r="E12" s="12">
        <f>IF(C12="","",VLOOKUP(C12,Lookup!$D$2:$E$6,2,FALSE))</f>
        <v/>
      </c>
      <c r="F12" s="27" t="n"/>
      <c r="G12" s="14">
        <f>IF(F12="","",TODAY()-F12)</f>
        <v/>
      </c>
      <c r="H12" s="27" t="n"/>
      <c r="I12" s="15">
        <f>IF(OR(B12="",D12=""),"",D12*VLOOKUP(B12,Lookup!$A$2:$B$5,2,FALSE))</f>
        <v/>
      </c>
      <c r="J12" s="15">
        <f>IF(OR(I12="",E12=""),"",I12*E12)</f>
        <v/>
      </c>
      <c r="K12" s="16" t="n"/>
    </row>
    <row r="13">
      <c r="D13" s="6" t="n"/>
      <c r="E13" s="12">
        <f>IF(C13="","",VLOOKUP(C13,Lookup!$D$2:$E$6,2,FALSE))</f>
        <v/>
      </c>
      <c r="F13" s="26" t="n"/>
      <c r="G13" s="14">
        <f>IF(F13="","",TODAY()-F13)</f>
        <v/>
      </c>
      <c r="H13" s="26" t="n"/>
      <c r="I13" s="15">
        <f>IF(OR(B13="",D13=""),"",D13*VLOOKUP(B13,Lookup!$A$2:$B$5,2,FALSE))</f>
        <v/>
      </c>
      <c r="J13" s="15">
        <f>IF(OR(I13="",E13=""),"",I13*E13)</f>
        <v/>
      </c>
    </row>
    <row r="14">
      <c r="A14" s="16" t="n"/>
      <c r="B14" s="16" t="n"/>
      <c r="C14" s="16" t="n"/>
      <c r="D14" s="17" t="n"/>
      <c r="E14" s="12">
        <f>IF(C14="","",VLOOKUP(C14,Lookup!$D$2:$E$6,2,FALSE))</f>
        <v/>
      </c>
      <c r="F14" s="27" t="n"/>
      <c r="G14" s="14">
        <f>IF(F14="","",TODAY()-F14)</f>
        <v/>
      </c>
      <c r="H14" s="27" t="n"/>
      <c r="I14" s="15">
        <f>IF(OR(B14="",D14=""),"",D14*VLOOKUP(B14,Lookup!$A$2:$B$5,2,FALSE))</f>
        <v/>
      </c>
      <c r="J14" s="15">
        <f>IF(OR(I14="",E14=""),"",I14*E14)</f>
        <v/>
      </c>
      <c r="K14" s="16" t="n"/>
    </row>
    <row r="15">
      <c r="D15" s="6" t="n"/>
      <c r="E15" s="12">
        <f>IF(C15="","",VLOOKUP(C15,Lookup!$D$2:$E$6,2,FALSE))</f>
        <v/>
      </c>
      <c r="F15" s="26" t="n"/>
      <c r="G15" s="14">
        <f>IF(F15="","",TODAY()-F15)</f>
        <v/>
      </c>
      <c r="H15" s="26" t="n"/>
      <c r="I15" s="15">
        <f>IF(OR(B15="",D15=""),"",D15*VLOOKUP(B15,Lookup!$A$2:$B$5,2,FALSE))</f>
        <v/>
      </c>
      <c r="J15" s="15">
        <f>IF(OR(I15="",E15=""),"",I15*E15)</f>
        <v/>
      </c>
    </row>
    <row r="16">
      <c r="A16" s="16" t="n"/>
      <c r="B16" s="16" t="n"/>
      <c r="C16" s="16" t="n"/>
      <c r="D16" s="17" t="n"/>
      <c r="E16" s="12">
        <f>IF(C16="","",VLOOKUP(C16,Lookup!$D$2:$E$6,2,FALSE))</f>
        <v/>
      </c>
      <c r="F16" s="27" t="n"/>
      <c r="G16" s="14">
        <f>IF(F16="","",TODAY()-F16)</f>
        <v/>
      </c>
      <c r="H16" s="27" t="n"/>
      <c r="I16" s="15">
        <f>IF(OR(B16="",D16=""),"",D16*VLOOKUP(B16,Lookup!$A$2:$B$5,2,FALSE))</f>
        <v/>
      </c>
      <c r="J16" s="15">
        <f>IF(OR(I16="",E16=""),"",I16*E16)</f>
        <v/>
      </c>
      <c r="K16" s="16" t="n"/>
    </row>
    <row r="17">
      <c r="D17" s="6" t="n"/>
      <c r="E17" s="12">
        <f>IF(C17="","",VLOOKUP(C17,Lookup!$D$2:$E$6,2,FALSE))</f>
        <v/>
      </c>
      <c r="F17" s="26" t="n"/>
      <c r="G17" s="14">
        <f>IF(F17="","",TODAY()-F17)</f>
        <v/>
      </c>
      <c r="H17" s="26" t="n"/>
      <c r="I17" s="15">
        <f>IF(OR(B17="",D17=""),"",D17*VLOOKUP(B17,Lookup!$A$2:$B$5,2,FALSE))</f>
        <v/>
      </c>
      <c r="J17" s="15">
        <f>IF(OR(I17="",E17=""),"",I17*E17)</f>
        <v/>
      </c>
    </row>
    <row r="18">
      <c r="A18" s="16" t="n"/>
      <c r="B18" s="16" t="n"/>
      <c r="C18" s="16" t="n"/>
      <c r="D18" s="17" t="n"/>
      <c r="E18" s="12">
        <f>IF(C18="","",VLOOKUP(C18,Lookup!$D$2:$E$6,2,FALSE))</f>
        <v/>
      </c>
      <c r="F18" s="27" t="n"/>
      <c r="G18" s="14">
        <f>IF(F18="","",TODAY()-F18)</f>
        <v/>
      </c>
      <c r="H18" s="27" t="n"/>
      <c r="I18" s="15">
        <f>IF(OR(B18="",D18=""),"",D18*VLOOKUP(B18,Lookup!$A$2:$B$5,2,FALSE))</f>
        <v/>
      </c>
      <c r="J18" s="15">
        <f>IF(OR(I18="",E18=""),"",I18*E18)</f>
        <v/>
      </c>
      <c r="K18" s="16" t="n"/>
    </row>
    <row r="19">
      <c r="D19" s="6" t="n"/>
      <c r="E19" s="12">
        <f>IF(C19="","",VLOOKUP(C19,Lookup!$D$2:$E$6,2,FALSE))</f>
        <v/>
      </c>
      <c r="F19" s="26" t="n"/>
      <c r="G19" s="14">
        <f>IF(F19="","",TODAY()-F19)</f>
        <v/>
      </c>
      <c r="H19" s="26" t="n"/>
      <c r="I19" s="15">
        <f>IF(OR(B19="",D19=""),"",D19*VLOOKUP(B19,Lookup!$A$2:$B$5,2,FALSE))</f>
        <v/>
      </c>
      <c r="J19" s="15">
        <f>IF(OR(I19="",E19=""),"",I19*E19)</f>
        <v/>
      </c>
    </row>
    <row r="20">
      <c r="A20" s="16" t="n"/>
      <c r="B20" s="16" t="n"/>
      <c r="C20" s="16" t="n"/>
      <c r="D20" s="17" t="n"/>
      <c r="E20" s="12">
        <f>IF(C20="","",VLOOKUP(C20,Lookup!$D$2:$E$6,2,FALSE))</f>
        <v/>
      </c>
      <c r="F20" s="27" t="n"/>
      <c r="G20" s="14">
        <f>IF(F20="","",TODAY()-F20)</f>
        <v/>
      </c>
      <c r="H20" s="27" t="n"/>
      <c r="I20" s="15">
        <f>IF(OR(B20="",D20=""),"",D20*VLOOKUP(B20,Lookup!$A$2:$B$5,2,FALSE))</f>
        <v/>
      </c>
      <c r="J20" s="15">
        <f>IF(OR(I20="",E20=""),"",I20*E20)</f>
        <v/>
      </c>
      <c r="K20" s="16" t="n"/>
    </row>
    <row r="21">
      <c r="D21" s="6" t="n"/>
      <c r="E21" s="12">
        <f>IF(C21="","",VLOOKUP(C21,Lookup!$D$2:$E$6,2,FALSE))</f>
        <v/>
      </c>
      <c r="F21" s="26" t="n"/>
      <c r="G21" s="14">
        <f>IF(F21="","",TODAY()-F21)</f>
        <v/>
      </c>
      <c r="H21" s="26" t="n"/>
      <c r="I21" s="15">
        <f>IF(OR(B21="",D21=""),"",D21*VLOOKUP(B21,Lookup!$A$2:$B$5,2,FALSE))</f>
        <v/>
      </c>
      <c r="J21" s="15">
        <f>IF(OR(I21="",E21=""),"",I21*E21)</f>
        <v/>
      </c>
    </row>
    <row r="22">
      <c r="A22" s="16" t="n"/>
      <c r="B22" s="16" t="n"/>
      <c r="C22" s="16" t="n"/>
      <c r="D22" s="17" t="n"/>
      <c r="E22" s="12">
        <f>IF(C22="","",VLOOKUP(C22,Lookup!$D$2:$E$6,2,FALSE))</f>
        <v/>
      </c>
      <c r="F22" s="27" t="n"/>
      <c r="G22" s="14">
        <f>IF(F22="","",TODAY()-F22)</f>
        <v/>
      </c>
      <c r="H22" s="27" t="n"/>
      <c r="I22" s="15">
        <f>IF(OR(B22="",D22=""),"",D22*VLOOKUP(B22,Lookup!$A$2:$B$5,2,FALSE))</f>
        <v/>
      </c>
      <c r="J22" s="15">
        <f>IF(OR(I22="",E22=""),"",I22*E22)</f>
        <v/>
      </c>
      <c r="K22" s="16" t="n"/>
    </row>
    <row r="23">
      <c r="D23" s="6" t="n"/>
      <c r="E23" s="12">
        <f>IF(C23="","",VLOOKUP(C23,Lookup!$D$2:$E$6,2,FALSE))</f>
        <v/>
      </c>
      <c r="F23" s="26" t="n"/>
      <c r="G23" s="14">
        <f>IF(F23="","",TODAY()-F23)</f>
        <v/>
      </c>
      <c r="H23" s="26" t="n"/>
      <c r="I23" s="15">
        <f>IF(OR(B23="",D23=""),"",D23*VLOOKUP(B23,Lookup!$A$2:$B$5,2,FALSE))</f>
        <v/>
      </c>
      <c r="J23" s="15">
        <f>IF(OR(I23="",E23=""),"",I23*E23)</f>
        <v/>
      </c>
    </row>
    <row r="24">
      <c r="A24" s="16" t="n"/>
      <c r="B24" s="16" t="n"/>
      <c r="C24" s="16" t="n"/>
      <c r="D24" s="17" t="n"/>
      <c r="E24" s="12">
        <f>IF(C24="","",VLOOKUP(C24,Lookup!$D$2:$E$6,2,FALSE))</f>
        <v/>
      </c>
      <c r="F24" s="27" t="n"/>
      <c r="G24" s="14">
        <f>IF(F24="","",TODAY()-F24)</f>
        <v/>
      </c>
      <c r="H24" s="27" t="n"/>
      <c r="I24" s="15">
        <f>IF(OR(B24="",D24=""),"",D24*VLOOKUP(B24,Lookup!$A$2:$B$5,2,FALSE))</f>
        <v/>
      </c>
      <c r="J24" s="15">
        <f>IF(OR(I24="",E24=""),"",I24*E24)</f>
        <v/>
      </c>
      <c r="K24" s="16" t="n"/>
    </row>
    <row r="25">
      <c r="D25" s="6" t="n"/>
      <c r="E25" s="12">
        <f>IF(C25="","",VLOOKUP(C25,Lookup!$D$2:$E$6,2,FALSE))</f>
        <v/>
      </c>
      <c r="F25" s="26" t="n"/>
      <c r="G25" s="14">
        <f>IF(F25="","",TODAY()-F25)</f>
        <v/>
      </c>
      <c r="H25" s="26" t="n"/>
      <c r="I25" s="15">
        <f>IF(OR(B25="",D25=""),"",D25*VLOOKUP(B25,Lookup!$A$2:$B$5,2,FALSE))</f>
        <v/>
      </c>
      <c r="J25" s="15">
        <f>IF(OR(I25="",E25=""),"",I25*E25)</f>
        <v/>
      </c>
    </row>
    <row r="26">
      <c r="A26" s="16" t="n"/>
      <c r="B26" s="16" t="n"/>
      <c r="C26" s="16" t="n"/>
      <c r="D26" s="17" t="n"/>
      <c r="E26" s="12">
        <f>IF(C26="","",VLOOKUP(C26,Lookup!$D$2:$E$6,2,FALSE))</f>
        <v/>
      </c>
      <c r="F26" s="27" t="n"/>
      <c r="G26" s="14">
        <f>IF(F26="","",TODAY()-F26)</f>
        <v/>
      </c>
      <c r="H26" s="27" t="n"/>
      <c r="I26" s="15">
        <f>IF(OR(B26="",D26=""),"",D26*VLOOKUP(B26,Lookup!$A$2:$B$5,2,FALSE))</f>
        <v/>
      </c>
      <c r="J26" s="15">
        <f>IF(OR(I26="",E26=""),"",I26*E26)</f>
        <v/>
      </c>
      <c r="K26" s="16" t="n"/>
    </row>
    <row r="27">
      <c r="D27" s="6" t="n"/>
      <c r="E27" s="12">
        <f>IF(C27="","",VLOOKUP(C27,Lookup!$D$2:$E$6,2,FALSE))</f>
        <v/>
      </c>
      <c r="F27" s="26" t="n"/>
      <c r="G27" s="14">
        <f>IF(F27="","",TODAY()-F27)</f>
        <v/>
      </c>
      <c r="H27" s="26" t="n"/>
      <c r="I27" s="15">
        <f>IF(OR(B27="",D27=""),"",D27*VLOOKUP(B27,Lookup!$A$2:$B$5,2,FALSE))</f>
        <v/>
      </c>
      <c r="J27" s="15">
        <f>IF(OR(I27="",E27=""),"",I27*E27)</f>
        <v/>
      </c>
    </row>
    <row r="28">
      <c r="A28" s="16" t="n"/>
      <c r="B28" s="16" t="n"/>
      <c r="C28" s="16" t="n"/>
      <c r="D28" s="17" t="n"/>
      <c r="E28" s="12">
        <f>IF(C28="","",VLOOKUP(C28,Lookup!$D$2:$E$6,2,FALSE))</f>
        <v/>
      </c>
      <c r="F28" s="27" t="n"/>
      <c r="G28" s="14">
        <f>IF(F28="","",TODAY()-F28)</f>
        <v/>
      </c>
      <c r="H28" s="27" t="n"/>
      <c r="I28" s="15">
        <f>IF(OR(B28="",D28=""),"",D28*VLOOKUP(B28,Lookup!$A$2:$B$5,2,FALSE))</f>
        <v/>
      </c>
      <c r="J28" s="15">
        <f>IF(OR(I28="",E28=""),"",I28*E28)</f>
        <v/>
      </c>
      <c r="K28" s="16" t="n"/>
    </row>
    <row r="29">
      <c r="D29" s="6" t="n"/>
      <c r="E29" s="12">
        <f>IF(C29="","",VLOOKUP(C29,Lookup!$D$2:$E$6,2,FALSE))</f>
        <v/>
      </c>
      <c r="F29" s="26" t="n"/>
      <c r="G29" s="14">
        <f>IF(F29="","",TODAY()-F29)</f>
        <v/>
      </c>
      <c r="H29" s="26" t="n"/>
      <c r="I29" s="15">
        <f>IF(OR(B29="",D29=""),"",D29*VLOOKUP(B29,Lookup!$A$2:$B$5,2,FALSE))</f>
        <v/>
      </c>
      <c r="J29" s="15">
        <f>IF(OR(I29="",E29=""),"",I29*E29)</f>
        <v/>
      </c>
    </row>
    <row r="30">
      <c r="A30" s="16" t="n"/>
      <c r="B30" s="16" t="n"/>
      <c r="C30" s="16" t="n"/>
      <c r="D30" s="17" t="n"/>
      <c r="E30" s="12">
        <f>IF(C30="","",VLOOKUP(C30,Lookup!$D$2:$E$6,2,FALSE))</f>
        <v/>
      </c>
      <c r="F30" s="27" t="n"/>
      <c r="G30" s="14">
        <f>IF(F30="","",TODAY()-F30)</f>
        <v/>
      </c>
      <c r="H30" s="27" t="n"/>
      <c r="I30" s="15">
        <f>IF(OR(B30="",D30=""),"",D30*VLOOKUP(B30,Lookup!$A$2:$B$5,2,FALSE))</f>
        <v/>
      </c>
      <c r="J30" s="15">
        <f>IF(OR(I30="",E30=""),"",I30*E30)</f>
        <v/>
      </c>
      <c r="K30" s="16" t="n"/>
    </row>
    <row r="31">
      <c r="D31" s="6" t="n"/>
      <c r="E31" s="12">
        <f>IF(C31="","",VLOOKUP(C31,Lookup!$D$2:$E$6,2,FALSE))</f>
        <v/>
      </c>
      <c r="F31" s="26" t="n"/>
      <c r="G31" s="14">
        <f>IF(F31="","",TODAY()-F31)</f>
        <v/>
      </c>
      <c r="H31" s="26" t="n"/>
      <c r="I31" s="15">
        <f>IF(OR(B31="",D31=""),"",D31*VLOOKUP(B31,Lookup!$A$2:$B$5,2,FALSE))</f>
        <v/>
      </c>
      <c r="J31" s="15">
        <f>IF(OR(I31="",E31=""),"",I31*E31)</f>
        <v/>
      </c>
    </row>
    <row r="32">
      <c r="A32" s="16" t="n"/>
      <c r="B32" s="16" t="n"/>
      <c r="C32" s="16" t="n"/>
      <c r="D32" s="17" t="n"/>
      <c r="E32" s="12">
        <f>IF(C32="","",VLOOKUP(C32,Lookup!$D$2:$E$6,2,FALSE))</f>
        <v/>
      </c>
      <c r="F32" s="27" t="n"/>
      <c r="G32" s="14">
        <f>IF(F32="","",TODAY()-F32)</f>
        <v/>
      </c>
      <c r="H32" s="27" t="n"/>
      <c r="I32" s="15">
        <f>IF(OR(B32="",D32=""),"",D32*VLOOKUP(B32,Lookup!$A$2:$B$5,2,FALSE))</f>
        <v/>
      </c>
      <c r="J32" s="15">
        <f>IF(OR(I32="",E32=""),"",I32*E32)</f>
        <v/>
      </c>
      <c r="K32" s="16" t="n"/>
    </row>
  </sheetData>
  <mergeCells count="1">
    <mergeCell ref="A1:K1"/>
  </mergeCells>
  <conditionalFormatting sqref="G3:G32">
    <cfRule type="cellIs" priority="1" operator="greaterThan" dxfId="0">
      <formula>90</formula>
    </cfRule>
    <cfRule type="cellIs" priority="2" operator="between" dxfId="1">
      <formula>61</formula>
      <formula>90</formula>
    </cfRule>
  </conditionalFormatting>
  <dataValidations count="6">
    <dataValidation sqref="B3:B32" showDropDown="0" showInputMessage="0" showErrorMessage="1" allowBlank="1" errorTitle="Invalid product" error="Pick one of: Comm Loan, Deposits, Treasury Mgmt, Other Fees" type="list">
      <formula1>=Lookup!$A$2:$A$5</formula1>
    </dataValidation>
    <dataValidation sqref="C3:C32" showDropDown="0" showInputMessage="0" showErrorMessage="1" allowBlank="1" errorTitle="Invalid stage" error="Pick one of: Lead, Qualified, Proposal, Commit, Closed" type="list">
      <formula1>=Lookup!$D$2:$D$6</formula1>
    </dataValidation>
    <dataValidation sqref="D3:D32" showDropDown="0" showInputMessage="0" showErrorMessage="0" allowBlank="1" type="decimal" operator="greaterThanOrEqual">
      <formula1>0</formula1>
    </dataValidation>
    <dataValidation sqref="E3:E32" showDropDown="0" showInputMessage="0" showErrorMessage="0" allowBlank="1" errorTitle="Invalid probability" error="Enter a decimal between 0 and 1 (e.g. 0.25 for 25%)" type="decimal" operator="between">
      <formula1>0</formula1>
      <formula2>1</formula2>
    </dataValidation>
    <dataValidation sqref="F3:F32" showDropDown="0" showInputMessage="0" showErrorMessage="0" allowBlank="1" errorTitle="Invalid date — Date Entered Stage" error="Enter a date (mm/dd/yyyy)" type="date"/>
    <dataValidation sqref="H3:H32" showDropDown="0" showInputMessage="0" showErrorMessage="0" allowBlank="1" errorTitle="Invalid date — Expected Close" error="Enter a date (mm/dd/yyyy)" type="date"/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40" customWidth="1" min="11" max="11"/>
  </cols>
  <sheetData>
    <row r="1" ht="22" customHeight="1">
      <c r="A1" s="1" t="inlineStr">
        <is>
          <t>R. Chen · Dallas · Pipeline</t>
        </is>
      </c>
    </row>
    <row r="2" ht="22" customHeight="1">
      <c r="A2" s="11" t="inlineStr">
        <is>
          <t>Customer</t>
        </is>
      </c>
      <c r="B2" s="11" t="inlineStr">
        <is>
          <t>Product</t>
        </is>
      </c>
      <c r="C2" s="11" t="inlineStr">
        <is>
          <t>Stage</t>
        </is>
      </c>
      <c r="D2" s="11" t="inlineStr">
        <is>
          <t>Amount ($)</t>
        </is>
      </c>
      <c r="E2" s="11" t="inlineStr">
        <is>
          <t>Probability</t>
        </is>
      </c>
      <c r="F2" s="11" t="inlineStr">
        <is>
          <t>Date Entered Stage</t>
        </is>
      </c>
      <c r="G2" s="11" t="inlineStr">
        <is>
          <t>Days in Stage</t>
        </is>
      </c>
      <c r="H2" s="11" t="inlineStr">
        <is>
          <t>Expected Close</t>
        </is>
      </c>
      <c r="I2" s="11" t="inlineStr">
        <is>
          <t>Annual Rev ($)</t>
        </is>
      </c>
      <c r="J2" s="11" t="inlineStr">
        <is>
          <t>Weighted Rev ($)</t>
        </is>
      </c>
      <c r="K2" s="11" t="inlineStr">
        <is>
          <t>Notes</t>
        </is>
      </c>
    </row>
    <row r="3">
      <c r="A3" t="inlineStr">
        <is>
          <t>Redwood Construction</t>
        </is>
      </c>
      <c r="B3" t="inlineStr">
        <is>
          <t>Comm Loan</t>
        </is>
      </c>
      <c r="C3" t="inlineStr">
        <is>
          <t>Commit</t>
        </is>
      </c>
      <c r="D3" s="6" t="n">
        <v>17680675.93</v>
      </c>
      <c r="E3" s="12" t="n">
        <v>0.7914</v>
      </c>
      <c r="F3" s="26" t="n">
        <v>46142</v>
      </c>
      <c r="G3" s="14">
        <f>IF(F3="","",TODAY()-F3)</f>
        <v/>
      </c>
      <c r="H3" s="26" t="n">
        <v>46261</v>
      </c>
      <c r="I3" s="15">
        <f>IF(OR(B3="",D3=""),"",D3*VLOOKUP(B3,Lookup!$A$2:$B$5,2,FALSE))</f>
        <v/>
      </c>
      <c r="J3" s="15">
        <f>IF(OR(I3="",E3=""),"",I3*E3)</f>
        <v/>
      </c>
    </row>
    <row r="4">
      <c r="A4" s="16" t="inlineStr">
        <is>
          <t>Summit Hospitality</t>
        </is>
      </c>
      <c r="B4" s="16" t="inlineStr">
        <is>
          <t>Comm Loan</t>
        </is>
      </c>
      <c r="C4" s="16" t="inlineStr">
        <is>
          <t>Proposal</t>
        </is>
      </c>
      <c r="D4" s="17" t="n">
        <v>2595942.77</v>
      </c>
      <c r="E4" s="12" t="n">
        <v>0.4503</v>
      </c>
      <c r="F4" s="27" t="n">
        <v>46142</v>
      </c>
      <c r="G4" s="14">
        <f>IF(F4="","",TODAY()-F4)</f>
        <v/>
      </c>
      <c r="H4" s="27" t="n">
        <v>46307</v>
      </c>
      <c r="I4" s="15">
        <f>IF(OR(B4="",D4=""),"",D4*VLOOKUP(B4,Lookup!$A$2:$B$5,2,FALSE))</f>
        <v/>
      </c>
      <c r="J4" s="15">
        <f>IF(OR(I4="",E4=""),"",I4*E4)</f>
        <v/>
      </c>
      <c r="K4" s="16" t="n"/>
    </row>
    <row r="5">
      <c r="A5" t="inlineStr">
        <is>
          <t>Trinity Pharma</t>
        </is>
      </c>
      <c r="B5" t="inlineStr">
        <is>
          <t>Comm Loan</t>
        </is>
      </c>
      <c r="C5" t="inlineStr">
        <is>
          <t>Lead</t>
        </is>
      </c>
      <c r="D5" s="6" t="n">
        <v>10550099.4</v>
      </c>
      <c r="E5" s="12" t="n">
        <v>0.0508</v>
      </c>
      <c r="F5" s="26" t="n">
        <v>46137</v>
      </c>
      <c r="G5" s="14">
        <f>IF(F5="","",TODAY()-F5)</f>
        <v/>
      </c>
      <c r="H5" s="26" t="n">
        <v>46352</v>
      </c>
      <c r="I5" s="15">
        <f>IF(OR(B5="",D5=""),"",D5*VLOOKUP(B5,Lookup!$A$2:$B$5,2,FALSE))</f>
        <v/>
      </c>
      <c r="J5" s="15">
        <f>IF(OR(I5="",E5=""),"",I5*E5)</f>
        <v/>
      </c>
    </row>
    <row r="6">
      <c r="A6" s="16" t="inlineStr">
        <is>
          <t>Union Distributors</t>
        </is>
      </c>
      <c r="B6" s="16" t="inlineStr">
        <is>
          <t>Deposits</t>
        </is>
      </c>
      <c r="C6" s="16" t="inlineStr">
        <is>
          <t>Qualified</t>
        </is>
      </c>
      <c r="D6" s="17" t="n">
        <v>1055220.28</v>
      </c>
      <c r="E6" s="12" t="n">
        <v>0.2275</v>
      </c>
      <c r="F6" s="27" t="n">
        <v>46182</v>
      </c>
      <c r="G6" s="14">
        <f>IF(F6="","",TODAY()-F6)</f>
        <v/>
      </c>
      <c r="H6" s="27" t="n">
        <v>46337</v>
      </c>
      <c r="I6" s="15">
        <f>IF(OR(B6="",D6=""),"",D6*VLOOKUP(B6,Lookup!$A$2:$B$5,2,FALSE))</f>
        <v/>
      </c>
      <c r="J6" s="15">
        <f>IF(OR(I6="",E6=""),"",I6*E6)</f>
        <v/>
      </c>
      <c r="K6" s="16" t="n"/>
    </row>
    <row r="7">
      <c r="A7" t="inlineStr">
        <is>
          <t>Vanguard Plastics</t>
        </is>
      </c>
      <c r="B7" t="inlineStr">
        <is>
          <t>Deposits</t>
        </is>
      </c>
      <c r="C7" t="inlineStr">
        <is>
          <t>Qualified</t>
        </is>
      </c>
      <c r="D7" s="6" t="n">
        <v>4639920.43</v>
      </c>
      <c r="E7" s="12" t="n">
        <v>0.2146</v>
      </c>
      <c r="F7" s="26" t="n">
        <v>46126</v>
      </c>
      <c r="G7" s="14">
        <f>IF(F7="","",TODAY()-F7)</f>
        <v/>
      </c>
      <c r="H7" s="26" t="n">
        <v>46330</v>
      </c>
      <c r="I7" s="15">
        <f>IF(OR(B7="",D7=""),"",D7*VLOOKUP(B7,Lookup!$A$2:$B$5,2,FALSE))</f>
        <v/>
      </c>
      <c r="J7" s="15">
        <f>IF(OR(I7="",E7=""),"",I7*E7)</f>
        <v/>
      </c>
    </row>
    <row r="8">
      <c r="A8" s="16" t="inlineStr">
        <is>
          <t>Westfield Retail</t>
        </is>
      </c>
      <c r="B8" s="16" t="inlineStr">
        <is>
          <t>Comm Loan</t>
        </is>
      </c>
      <c r="C8" s="16" t="inlineStr">
        <is>
          <t>Lead</t>
        </is>
      </c>
      <c r="D8" s="17" t="n">
        <v>1585817.67</v>
      </c>
      <c r="E8" s="12" t="n">
        <v>0.1178</v>
      </c>
      <c r="F8" s="27" t="n">
        <v>46167</v>
      </c>
      <c r="G8" s="14">
        <f>IF(F8="","",TODAY()-F8)</f>
        <v/>
      </c>
      <c r="H8" s="27" t="n">
        <v>46331</v>
      </c>
      <c r="I8" s="15">
        <f>IF(OR(B8="",D8=""),"",D8*VLOOKUP(B8,Lookup!$A$2:$B$5,2,FALSE))</f>
        <v/>
      </c>
      <c r="J8" s="15">
        <f>IF(OR(I8="",E8=""),"",I8*E8)</f>
        <v/>
      </c>
      <c r="K8" s="16" t="n"/>
    </row>
    <row r="9">
      <c r="A9" t="inlineStr">
        <is>
          <t>Xander Aviation</t>
        </is>
      </c>
      <c r="B9" t="inlineStr">
        <is>
          <t>Comm Loan</t>
        </is>
      </c>
      <c r="C9" t="inlineStr">
        <is>
          <t>Lead</t>
        </is>
      </c>
      <c r="D9" s="6" t="n">
        <v>2728841.32</v>
      </c>
      <c r="E9" s="12" t="n">
        <v>0.1017</v>
      </c>
      <c r="F9" s="26" t="n">
        <v>46182</v>
      </c>
      <c r="G9" s="14">
        <f>IF(F9="","",TODAY()-F9)</f>
        <v/>
      </c>
      <c r="H9" s="26" t="n">
        <v>46363</v>
      </c>
      <c r="I9" s="15">
        <f>IF(OR(B9="",D9=""),"",D9*VLOOKUP(B9,Lookup!$A$2:$B$5,2,FALSE))</f>
        <v/>
      </c>
      <c r="J9" s="15">
        <f>IF(OR(I9="",E9=""),"",I9*E9)</f>
        <v/>
      </c>
    </row>
    <row r="10">
      <c r="A10" s="16" t="inlineStr">
        <is>
          <t>Yellowstone Ranch</t>
        </is>
      </c>
      <c r="B10" s="16" t="inlineStr">
        <is>
          <t>Other Fees</t>
        </is>
      </c>
      <c r="C10" s="16" t="inlineStr">
        <is>
          <t>Proposal</t>
        </is>
      </c>
      <c r="D10" s="17" t="n">
        <v>24484.22</v>
      </c>
      <c r="E10" s="12" t="n">
        <v>0.4725</v>
      </c>
      <c r="F10" s="27" t="n">
        <v>46115</v>
      </c>
      <c r="G10" s="14">
        <f>IF(F10="","",TODAY()-F10)</f>
        <v/>
      </c>
      <c r="H10" s="27" t="n">
        <v>46270</v>
      </c>
      <c r="I10" s="15">
        <f>IF(OR(B10="",D10=""),"",D10*VLOOKUP(B10,Lookup!$A$2:$B$5,2,FALSE))</f>
        <v/>
      </c>
      <c r="J10" s="15">
        <f>IF(OR(I10="",E10=""),"",I10*E10)</f>
        <v/>
      </c>
      <c r="K10" s="16" t="n"/>
    </row>
    <row r="11">
      <c r="A11" t="inlineStr">
        <is>
          <t>Zenith Software</t>
        </is>
      </c>
      <c r="B11" t="inlineStr">
        <is>
          <t>Deposits</t>
        </is>
      </c>
      <c r="C11" t="inlineStr">
        <is>
          <t>Lead</t>
        </is>
      </c>
      <c r="D11" s="6" t="n">
        <v>3267346.24</v>
      </c>
      <c r="E11" s="12" t="n">
        <v>0.117</v>
      </c>
      <c r="F11" s="26" t="n">
        <v>46162</v>
      </c>
      <c r="G11" s="14">
        <f>IF(F11="","",TODAY()-F11)</f>
        <v/>
      </c>
      <c r="H11" s="26" t="n">
        <v>46333</v>
      </c>
      <c r="I11" s="15">
        <f>IF(OR(B11="",D11=""),"",D11*VLOOKUP(B11,Lookup!$A$2:$B$5,2,FALSE))</f>
        <v/>
      </c>
      <c r="J11" s="15">
        <f>IF(OR(I11="",E11=""),"",I11*E11)</f>
        <v/>
      </c>
    </row>
    <row r="12">
      <c r="A12" s="16" t="n"/>
      <c r="B12" s="16" t="n"/>
      <c r="C12" s="16" t="n"/>
      <c r="D12" s="17" t="n"/>
      <c r="E12" s="12">
        <f>IF(C12="","",VLOOKUP(C12,Lookup!$D$2:$E$6,2,FALSE))</f>
        <v/>
      </c>
      <c r="F12" s="27" t="n"/>
      <c r="G12" s="14">
        <f>IF(F12="","",TODAY()-F12)</f>
        <v/>
      </c>
      <c r="H12" s="27" t="n"/>
      <c r="I12" s="15">
        <f>IF(OR(B12="",D12=""),"",D12*VLOOKUP(B12,Lookup!$A$2:$B$5,2,FALSE))</f>
        <v/>
      </c>
      <c r="J12" s="15">
        <f>IF(OR(I12="",E12=""),"",I12*E12)</f>
        <v/>
      </c>
      <c r="K12" s="16" t="n"/>
    </row>
    <row r="13">
      <c r="D13" s="6" t="n"/>
      <c r="E13" s="12">
        <f>IF(C13="","",VLOOKUP(C13,Lookup!$D$2:$E$6,2,FALSE))</f>
        <v/>
      </c>
      <c r="F13" s="26" t="n"/>
      <c r="G13" s="14">
        <f>IF(F13="","",TODAY()-F13)</f>
        <v/>
      </c>
      <c r="H13" s="26" t="n"/>
      <c r="I13" s="15">
        <f>IF(OR(B13="",D13=""),"",D13*VLOOKUP(B13,Lookup!$A$2:$B$5,2,FALSE))</f>
        <v/>
      </c>
      <c r="J13" s="15">
        <f>IF(OR(I13="",E13=""),"",I13*E13)</f>
        <v/>
      </c>
    </row>
    <row r="14">
      <c r="A14" s="16" t="n"/>
      <c r="B14" s="16" t="n"/>
      <c r="C14" s="16" t="n"/>
      <c r="D14" s="17" t="n"/>
      <c r="E14" s="12">
        <f>IF(C14="","",VLOOKUP(C14,Lookup!$D$2:$E$6,2,FALSE))</f>
        <v/>
      </c>
      <c r="F14" s="27" t="n"/>
      <c r="G14" s="14">
        <f>IF(F14="","",TODAY()-F14)</f>
        <v/>
      </c>
      <c r="H14" s="27" t="n"/>
      <c r="I14" s="15">
        <f>IF(OR(B14="",D14=""),"",D14*VLOOKUP(B14,Lookup!$A$2:$B$5,2,FALSE))</f>
        <v/>
      </c>
      <c r="J14" s="15">
        <f>IF(OR(I14="",E14=""),"",I14*E14)</f>
        <v/>
      </c>
      <c r="K14" s="16" t="n"/>
    </row>
    <row r="15">
      <c r="D15" s="6" t="n"/>
      <c r="E15" s="12">
        <f>IF(C15="","",VLOOKUP(C15,Lookup!$D$2:$E$6,2,FALSE))</f>
        <v/>
      </c>
      <c r="F15" s="26" t="n"/>
      <c r="G15" s="14">
        <f>IF(F15="","",TODAY()-F15)</f>
        <v/>
      </c>
      <c r="H15" s="26" t="n"/>
      <c r="I15" s="15">
        <f>IF(OR(B15="",D15=""),"",D15*VLOOKUP(B15,Lookup!$A$2:$B$5,2,FALSE))</f>
        <v/>
      </c>
      <c r="J15" s="15">
        <f>IF(OR(I15="",E15=""),"",I15*E15)</f>
        <v/>
      </c>
    </row>
    <row r="16">
      <c r="A16" s="16" t="n"/>
      <c r="B16" s="16" t="n"/>
      <c r="C16" s="16" t="n"/>
      <c r="D16" s="17" t="n"/>
      <c r="E16" s="12">
        <f>IF(C16="","",VLOOKUP(C16,Lookup!$D$2:$E$6,2,FALSE))</f>
        <v/>
      </c>
      <c r="F16" s="27" t="n"/>
      <c r="G16" s="14">
        <f>IF(F16="","",TODAY()-F16)</f>
        <v/>
      </c>
      <c r="H16" s="27" t="n"/>
      <c r="I16" s="15">
        <f>IF(OR(B16="",D16=""),"",D16*VLOOKUP(B16,Lookup!$A$2:$B$5,2,FALSE))</f>
        <v/>
      </c>
      <c r="J16" s="15">
        <f>IF(OR(I16="",E16=""),"",I16*E16)</f>
        <v/>
      </c>
      <c r="K16" s="16" t="n"/>
    </row>
    <row r="17">
      <c r="D17" s="6" t="n"/>
      <c r="E17" s="12">
        <f>IF(C17="","",VLOOKUP(C17,Lookup!$D$2:$E$6,2,FALSE))</f>
        <v/>
      </c>
      <c r="F17" s="26" t="n"/>
      <c r="G17" s="14">
        <f>IF(F17="","",TODAY()-F17)</f>
        <v/>
      </c>
      <c r="H17" s="26" t="n"/>
      <c r="I17" s="15">
        <f>IF(OR(B17="",D17=""),"",D17*VLOOKUP(B17,Lookup!$A$2:$B$5,2,FALSE))</f>
        <v/>
      </c>
      <c r="J17" s="15">
        <f>IF(OR(I17="",E17=""),"",I17*E17)</f>
        <v/>
      </c>
    </row>
    <row r="18">
      <c r="A18" s="16" t="n"/>
      <c r="B18" s="16" t="n"/>
      <c r="C18" s="16" t="n"/>
      <c r="D18" s="17" t="n"/>
      <c r="E18" s="12">
        <f>IF(C18="","",VLOOKUP(C18,Lookup!$D$2:$E$6,2,FALSE))</f>
        <v/>
      </c>
      <c r="F18" s="27" t="n"/>
      <c r="G18" s="14">
        <f>IF(F18="","",TODAY()-F18)</f>
        <v/>
      </c>
      <c r="H18" s="27" t="n"/>
      <c r="I18" s="15">
        <f>IF(OR(B18="",D18=""),"",D18*VLOOKUP(B18,Lookup!$A$2:$B$5,2,FALSE))</f>
        <v/>
      </c>
      <c r="J18" s="15">
        <f>IF(OR(I18="",E18=""),"",I18*E18)</f>
        <v/>
      </c>
      <c r="K18" s="16" t="n"/>
    </row>
    <row r="19">
      <c r="D19" s="6" t="n"/>
      <c r="E19" s="12">
        <f>IF(C19="","",VLOOKUP(C19,Lookup!$D$2:$E$6,2,FALSE))</f>
        <v/>
      </c>
      <c r="F19" s="26" t="n"/>
      <c r="G19" s="14">
        <f>IF(F19="","",TODAY()-F19)</f>
        <v/>
      </c>
      <c r="H19" s="26" t="n"/>
      <c r="I19" s="15">
        <f>IF(OR(B19="",D19=""),"",D19*VLOOKUP(B19,Lookup!$A$2:$B$5,2,FALSE))</f>
        <v/>
      </c>
      <c r="J19" s="15">
        <f>IF(OR(I19="",E19=""),"",I19*E19)</f>
        <v/>
      </c>
    </row>
    <row r="20">
      <c r="A20" s="16" t="n"/>
      <c r="B20" s="16" t="n"/>
      <c r="C20" s="16" t="n"/>
      <c r="D20" s="17" t="n"/>
      <c r="E20" s="12">
        <f>IF(C20="","",VLOOKUP(C20,Lookup!$D$2:$E$6,2,FALSE))</f>
        <v/>
      </c>
      <c r="F20" s="27" t="n"/>
      <c r="G20" s="14">
        <f>IF(F20="","",TODAY()-F20)</f>
        <v/>
      </c>
      <c r="H20" s="27" t="n"/>
      <c r="I20" s="15">
        <f>IF(OR(B20="",D20=""),"",D20*VLOOKUP(B20,Lookup!$A$2:$B$5,2,FALSE))</f>
        <v/>
      </c>
      <c r="J20" s="15">
        <f>IF(OR(I20="",E20=""),"",I20*E20)</f>
        <v/>
      </c>
      <c r="K20" s="16" t="n"/>
    </row>
    <row r="21">
      <c r="D21" s="6" t="n"/>
      <c r="E21" s="12">
        <f>IF(C21="","",VLOOKUP(C21,Lookup!$D$2:$E$6,2,FALSE))</f>
        <v/>
      </c>
      <c r="F21" s="26" t="n"/>
      <c r="G21" s="14">
        <f>IF(F21="","",TODAY()-F21)</f>
        <v/>
      </c>
      <c r="H21" s="26" t="n"/>
      <c r="I21" s="15">
        <f>IF(OR(B21="",D21=""),"",D21*VLOOKUP(B21,Lookup!$A$2:$B$5,2,FALSE))</f>
        <v/>
      </c>
      <c r="J21" s="15">
        <f>IF(OR(I21="",E21=""),"",I21*E21)</f>
        <v/>
      </c>
    </row>
    <row r="22">
      <c r="A22" s="16" t="n"/>
      <c r="B22" s="16" t="n"/>
      <c r="C22" s="16" t="n"/>
      <c r="D22" s="17" t="n"/>
      <c r="E22" s="12">
        <f>IF(C22="","",VLOOKUP(C22,Lookup!$D$2:$E$6,2,FALSE))</f>
        <v/>
      </c>
      <c r="F22" s="27" t="n"/>
      <c r="G22" s="14">
        <f>IF(F22="","",TODAY()-F22)</f>
        <v/>
      </c>
      <c r="H22" s="27" t="n"/>
      <c r="I22" s="15">
        <f>IF(OR(B22="",D22=""),"",D22*VLOOKUP(B22,Lookup!$A$2:$B$5,2,FALSE))</f>
        <v/>
      </c>
      <c r="J22" s="15">
        <f>IF(OR(I22="",E22=""),"",I22*E22)</f>
        <v/>
      </c>
      <c r="K22" s="16" t="n"/>
    </row>
    <row r="23">
      <c r="D23" s="6" t="n"/>
      <c r="E23" s="12">
        <f>IF(C23="","",VLOOKUP(C23,Lookup!$D$2:$E$6,2,FALSE))</f>
        <v/>
      </c>
      <c r="F23" s="26" t="n"/>
      <c r="G23" s="14">
        <f>IF(F23="","",TODAY()-F23)</f>
        <v/>
      </c>
      <c r="H23" s="26" t="n"/>
      <c r="I23" s="15">
        <f>IF(OR(B23="",D23=""),"",D23*VLOOKUP(B23,Lookup!$A$2:$B$5,2,FALSE))</f>
        <v/>
      </c>
      <c r="J23" s="15">
        <f>IF(OR(I23="",E23=""),"",I23*E23)</f>
        <v/>
      </c>
    </row>
    <row r="24">
      <c r="A24" s="16" t="n"/>
      <c r="B24" s="16" t="n"/>
      <c r="C24" s="16" t="n"/>
      <c r="D24" s="17" t="n"/>
      <c r="E24" s="12">
        <f>IF(C24="","",VLOOKUP(C24,Lookup!$D$2:$E$6,2,FALSE))</f>
        <v/>
      </c>
      <c r="F24" s="27" t="n"/>
      <c r="G24" s="14">
        <f>IF(F24="","",TODAY()-F24)</f>
        <v/>
      </c>
      <c r="H24" s="27" t="n"/>
      <c r="I24" s="15">
        <f>IF(OR(B24="",D24=""),"",D24*VLOOKUP(B24,Lookup!$A$2:$B$5,2,FALSE))</f>
        <v/>
      </c>
      <c r="J24" s="15">
        <f>IF(OR(I24="",E24=""),"",I24*E24)</f>
        <v/>
      </c>
      <c r="K24" s="16" t="n"/>
    </row>
    <row r="25">
      <c r="D25" s="6" t="n"/>
      <c r="E25" s="12">
        <f>IF(C25="","",VLOOKUP(C25,Lookup!$D$2:$E$6,2,FALSE))</f>
        <v/>
      </c>
      <c r="F25" s="26" t="n"/>
      <c r="G25" s="14">
        <f>IF(F25="","",TODAY()-F25)</f>
        <v/>
      </c>
      <c r="H25" s="26" t="n"/>
      <c r="I25" s="15">
        <f>IF(OR(B25="",D25=""),"",D25*VLOOKUP(B25,Lookup!$A$2:$B$5,2,FALSE))</f>
        <v/>
      </c>
      <c r="J25" s="15">
        <f>IF(OR(I25="",E25=""),"",I25*E25)</f>
        <v/>
      </c>
    </row>
    <row r="26">
      <c r="A26" s="16" t="n"/>
      <c r="B26" s="16" t="n"/>
      <c r="C26" s="16" t="n"/>
      <c r="D26" s="17" t="n"/>
      <c r="E26" s="12">
        <f>IF(C26="","",VLOOKUP(C26,Lookup!$D$2:$E$6,2,FALSE))</f>
        <v/>
      </c>
      <c r="F26" s="27" t="n"/>
      <c r="G26" s="14">
        <f>IF(F26="","",TODAY()-F26)</f>
        <v/>
      </c>
      <c r="H26" s="27" t="n"/>
      <c r="I26" s="15">
        <f>IF(OR(B26="",D26=""),"",D26*VLOOKUP(B26,Lookup!$A$2:$B$5,2,FALSE))</f>
        <v/>
      </c>
      <c r="J26" s="15">
        <f>IF(OR(I26="",E26=""),"",I26*E26)</f>
        <v/>
      </c>
      <c r="K26" s="16" t="n"/>
    </row>
    <row r="27">
      <c r="D27" s="6" t="n"/>
      <c r="E27" s="12">
        <f>IF(C27="","",VLOOKUP(C27,Lookup!$D$2:$E$6,2,FALSE))</f>
        <v/>
      </c>
      <c r="F27" s="26" t="n"/>
      <c r="G27" s="14">
        <f>IF(F27="","",TODAY()-F27)</f>
        <v/>
      </c>
      <c r="H27" s="26" t="n"/>
      <c r="I27" s="15">
        <f>IF(OR(B27="",D27=""),"",D27*VLOOKUP(B27,Lookup!$A$2:$B$5,2,FALSE))</f>
        <v/>
      </c>
      <c r="J27" s="15">
        <f>IF(OR(I27="",E27=""),"",I27*E27)</f>
        <v/>
      </c>
    </row>
    <row r="28">
      <c r="A28" s="16" t="n"/>
      <c r="B28" s="16" t="n"/>
      <c r="C28" s="16" t="n"/>
      <c r="D28" s="17" t="n"/>
      <c r="E28" s="12">
        <f>IF(C28="","",VLOOKUP(C28,Lookup!$D$2:$E$6,2,FALSE))</f>
        <v/>
      </c>
      <c r="F28" s="27" t="n"/>
      <c r="G28" s="14">
        <f>IF(F28="","",TODAY()-F28)</f>
        <v/>
      </c>
      <c r="H28" s="27" t="n"/>
      <c r="I28" s="15">
        <f>IF(OR(B28="",D28=""),"",D28*VLOOKUP(B28,Lookup!$A$2:$B$5,2,FALSE))</f>
        <v/>
      </c>
      <c r="J28" s="15">
        <f>IF(OR(I28="",E28=""),"",I28*E28)</f>
        <v/>
      </c>
      <c r="K28" s="16" t="n"/>
    </row>
    <row r="29">
      <c r="D29" s="6" t="n"/>
      <c r="E29" s="12">
        <f>IF(C29="","",VLOOKUP(C29,Lookup!$D$2:$E$6,2,FALSE))</f>
        <v/>
      </c>
      <c r="F29" s="26" t="n"/>
      <c r="G29" s="14">
        <f>IF(F29="","",TODAY()-F29)</f>
        <v/>
      </c>
      <c r="H29" s="26" t="n"/>
      <c r="I29" s="15">
        <f>IF(OR(B29="",D29=""),"",D29*VLOOKUP(B29,Lookup!$A$2:$B$5,2,FALSE))</f>
        <v/>
      </c>
      <c r="J29" s="15">
        <f>IF(OR(I29="",E29=""),"",I29*E29)</f>
        <v/>
      </c>
    </row>
    <row r="30">
      <c r="A30" s="16" t="n"/>
      <c r="B30" s="16" t="n"/>
      <c r="C30" s="16" t="n"/>
      <c r="D30" s="17" t="n"/>
      <c r="E30" s="12">
        <f>IF(C30="","",VLOOKUP(C30,Lookup!$D$2:$E$6,2,FALSE))</f>
        <v/>
      </c>
      <c r="F30" s="27" t="n"/>
      <c r="G30" s="14">
        <f>IF(F30="","",TODAY()-F30)</f>
        <v/>
      </c>
      <c r="H30" s="27" t="n"/>
      <c r="I30" s="15">
        <f>IF(OR(B30="",D30=""),"",D30*VLOOKUP(B30,Lookup!$A$2:$B$5,2,FALSE))</f>
        <v/>
      </c>
      <c r="J30" s="15">
        <f>IF(OR(I30="",E30=""),"",I30*E30)</f>
        <v/>
      </c>
      <c r="K30" s="16" t="n"/>
    </row>
    <row r="31">
      <c r="D31" s="6" t="n"/>
      <c r="E31" s="12">
        <f>IF(C31="","",VLOOKUP(C31,Lookup!$D$2:$E$6,2,FALSE))</f>
        <v/>
      </c>
      <c r="F31" s="26" t="n"/>
      <c r="G31" s="14">
        <f>IF(F31="","",TODAY()-F31)</f>
        <v/>
      </c>
      <c r="H31" s="26" t="n"/>
      <c r="I31" s="15">
        <f>IF(OR(B31="",D31=""),"",D31*VLOOKUP(B31,Lookup!$A$2:$B$5,2,FALSE))</f>
        <v/>
      </c>
      <c r="J31" s="15">
        <f>IF(OR(I31="",E31=""),"",I31*E31)</f>
        <v/>
      </c>
    </row>
    <row r="32">
      <c r="A32" s="16" t="n"/>
      <c r="B32" s="16" t="n"/>
      <c r="C32" s="16" t="n"/>
      <c r="D32" s="17" t="n"/>
      <c r="E32" s="12">
        <f>IF(C32="","",VLOOKUP(C32,Lookup!$D$2:$E$6,2,FALSE))</f>
        <v/>
      </c>
      <c r="F32" s="27" t="n"/>
      <c r="G32" s="14">
        <f>IF(F32="","",TODAY()-F32)</f>
        <v/>
      </c>
      <c r="H32" s="27" t="n"/>
      <c r="I32" s="15">
        <f>IF(OR(B32="",D32=""),"",D32*VLOOKUP(B32,Lookup!$A$2:$B$5,2,FALSE))</f>
        <v/>
      </c>
      <c r="J32" s="15">
        <f>IF(OR(I32="",E32=""),"",I32*E32)</f>
        <v/>
      </c>
      <c r="K32" s="16" t="n"/>
    </row>
  </sheetData>
  <mergeCells count="1">
    <mergeCell ref="A1:K1"/>
  </mergeCells>
  <conditionalFormatting sqref="G3:G32">
    <cfRule type="cellIs" priority="1" operator="greaterThan" dxfId="0">
      <formula>90</formula>
    </cfRule>
    <cfRule type="cellIs" priority="2" operator="between" dxfId="1">
      <formula>61</formula>
      <formula>90</formula>
    </cfRule>
  </conditionalFormatting>
  <dataValidations count="6">
    <dataValidation sqref="B3:B32" showDropDown="0" showInputMessage="0" showErrorMessage="1" allowBlank="1" errorTitle="Invalid product" error="Pick one of: Comm Loan, Deposits, Treasury Mgmt, Other Fees" type="list">
      <formula1>=Lookup!$A$2:$A$5</formula1>
    </dataValidation>
    <dataValidation sqref="C3:C32" showDropDown="0" showInputMessage="0" showErrorMessage="1" allowBlank="1" errorTitle="Invalid stage" error="Pick one of: Lead, Qualified, Proposal, Commit, Closed" type="list">
      <formula1>=Lookup!$D$2:$D$6</formula1>
    </dataValidation>
    <dataValidation sqref="D3:D32" showDropDown="0" showInputMessage="0" showErrorMessage="0" allowBlank="1" type="decimal" operator="greaterThanOrEqual">
      <formula1>0</formula1>
    </dataValidation>
    <dataValidation sqref="E3:E32" showDropDown="0" showInputMessage="0" showErrorMessage="0" allowBlank="1" errorTitle="Invalid probability" error="Enter a decimal between 0 and 1 (e.g. 0.25 for 25%)" type="decimal" operator="between">
      <formula1>0</formula1>
      <formula2>1</formula2>
    </dataValidation>
    <dataValidation sqref="F3:F32" showDropDown="0" showInputMessage="0" showErrorMessage="0" allowBlank="1" errorTitle="Invalid date — Date Entered Stage" error="Enter a date (mm/dd/yyyy)" type="date"/>
    <dataValidation sqref="H3:H32" showDropDown="0" showInputMessage="0" showErrorMessage="0" allowBlank="1" errorTitle="Invalid date — Expected Close" error="Enter a date (mm/dd/yyyy)" type="date"/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40" customWidth="1" min="11" max="11"/>
  </cols>
  <sheetData>
    <row r="1" ht="22" customHeight="1">
      <c r="A1" s="1" t="inlineStr">
        <is>
          <t>S. Garcia · Dallas · Pipeline</t>
        </is>
      </c>
    </row>
    <row r="2" ht="22" customHeight="1">
      <c r="A2" s="11" t="inlineStr">
        <is>
          <t>Customer</t>
        </is>
      </c>
      <c r="B2" s="11" t="inlineStr">
        <is>
          <t>Product</t>
        </is>
      </c>
      <c r="C2" s="11" t="inlineStr">
        <is>
          <t>Stage</t>
        </is>
      </c>
      <c r="D2" s="11" t="inlineStr">
        <is>
          <t>Amount ($)</t>
        </is>
      </c>
      <c r="E2" s="11" t="inlineStr">
        <is>
          <t>Probability</t>
        </is>
      </c>
      <c r="F2" s="11" t="inlineStr">
        <is>
          <t>Date Entered Stage</t>
        </is>
      </c>
      <c r="G2" s="11" t="inlineStr">
        <is>
          <t>Days in Stage</t>
        </is>
      </c>
      <c r="H2" s="11" t="inlineStr">
        <is>
          <t>Expected Close</t>
        </is>
      </c>
      <c r="I2" s="11" t="inlineStr">
        <is>
          <t>Annual Rev ($)</t>
        </is>
      </c>
      <c r="J2" s="11" t="inlineStr">
        <is>
          <t>Weighted Rev ($)</t>
        </is>
      </c>
      <c r="K2" s="11" t="inlineStr">
        <is>
          <t>Notes</t>
        </is>
      </c>
    </row>
    <row r="3">
      <c r="A3" t="inlineStr">
        <is>
          <t>Union Distributors</t>
        </is>
      </c>
      <c r="B3" t="inlineStr">
        <is>
          <t>Other Fees</t>
        </is>
      </c>
      <c r="C3" t="inlineStr">
        <is>
          <t>Qualified</t>
        </is>
      </c>
      <c r="D3" s="6" t="n">
        <v>49498.92</v>
      </c>
      <c r="E3" s="12" t="n">
        <v>0.2127</v>
      </c>
      <c r="F3" s="26" t="n">
        <v>46081</v>
      </c>
      <c r="G3" s="14">
        <f>IF(F3="","",TODAY()-F3)</f>
        <v/>
      </c>
      <c r="H3" s="26" t="n">
        <v>46337</v>
      </c>
      <c r="I3" s="15">
        <f>IF(OR(B3="",D3=""),"",D3*VLOOKUP(B3,Lookup!$A$2:$B$5,2,FALSE))</f>
        <v/>
      </c>
      <c r="J3" s="15">
        <f>IF(OR(I3="",E3=""),"",I3*E3)</f>
        <v/>
      </c>
    </row>
    <row r="4">
      <c r="A4" s="16" t="inlineStr">
        <is>
          <t>Vanguard Plastics</t>
        </is>
      </c>
      <c r="B4" s="16" t="inlineStr">
        <is>
          <t>Treasury Mgmt</t>
        </is>
      </c>
      <c r="C4" s="16" t="inlineStr">
        <is>
          <t>Lead</t>
        </is>
      </c>
      <c r="D4" s="17" t="n">
        <v>117786.33</v>
      </c>
      <c r="E4" s="12" t="n">
        <v>0.1338</v>
      </c>
      <c r="F4" s="27" t="n">
        <v>46143</v>
      </c>
      <c r="G4" s="14">
        <f>IF(F4="","",TODAY()-F4)</f>
        <v/>
      </c>
      <c r="H4" s="27" t="n">
        <v>46376</v>
      </c>
      <c r="I4" s="15">
        <f>IF(OR(B4="",D4=""),"",D4*VLOOKUP(B4,Lookup!$A$2:$B$5,2,FALSE))</f>
        <v/>
      </c>
      <c r="J4" s="15">
        <f>IF(OR(I4="",E4=""),"",I4*E4)</f>
        <v/>
      </c>
      <c r="K4" s="16" t="n"/>
    </row>
    <row r="5">
      <c r="A5" t="inlineStr">
        <is>
          <t>Westfield Retail</t>
        </is>
      </c>
      <c r="B5" t="inlineStr">
        <is>
          <t>Comm Loan</t>
        </is>
      </c>
      <c r="C5" t="inlineStr">
        <is>
          <t>Closed</t>
        </is>
      </c>
      <c r="D5" s="6" t="n">
        <v>3693911.73</v>
      </c>
      <c r="E5" s="12" t="n">
        <v>1</v>
      </c>
      <c r="F5" s="26" t="n">
        <v>46098</v>
      </c>
      <c r="G5" s="14">
        <f>IF(F5="","",TODAY()-F5)</f>
        <v/>
      </c>
      <c r="H5" s="26" t="n">
        <v>46213</v>
      </c>
      <c r="I5" s="15">
        <f>IF(OR(B5="",D5=""),"",D5*VLOOKUP(B5,Lookup!$A$2:$B$5,2,FALSE))</f>
        <v/>
      </c>
      <c r="J5" s="15">
        <f>IF(OR(I5="",E5=""),"",I5*E5)</f>
        <v/>
      </c>
    </row>
    <row r="6">
      <c r="A6" s="16" t="inlineStr">
        <is>
          <t>Xander Aviation</t>
        </is>
      </c>
      <c r="B6" s="16" t="inlineStr">
        <is>
          <t>Other Fees</t>
        </is>
      </c>
      <c r="C6" s="16" t="inlineStr">
        <is>
          <t>Lead</t>
        </is>
      </c>
      <c r="D6" s="17" t="n">
        <v>40457.68</v>
      </c>
      <c r="E6" s="12" t="n">
        <v>0.1036</v>
      </c>
      <c r="F6" s="27" t="n">
        <v>46135</v>
      </c>
      <c r="G6" s="14">
        <f>IF(F6="","",TODAY()-F6)</f>
        <v/>
      </c>
      <c r="H6" s="27" t="n">
        <v>46383</v>
      </c>
      <c r="I6" s="15">
        <f>IF(OR(B6="",D6=""),"",D6*VLOOKUP(B6,Lookup!$A$2:$B$5,2,FALSE))</f>
        <v/>
      </c>
      <c r="J6" s="15">
        <f>IF(OR(I6="",E6=""),"",I6*E6)</f>
        <v/>
      </c>
      <c r="K6" s="16" t="n"/>
    </row>
    <row r="7">
      <c r="A7" t="inlineStr">
        <is>
          <t>Yellowstone Ranch</t>
        </is>
      </c>
      <c r="B7" t="inlineStr">
        <is>
          <t>Comm Loan</t>
        </is>
      </c>
      <c r="C7" t="inlineStr">
        <is>
          <t>Qualified</t>
        </is>
      </c>
      <c r="D7" s="6" t="n">
        <v>2322589.74</v>
      </c>
      <c r="E7" s="12" t="n">
        <v>0.2114</v>
      </c>
      <c r="F7" s="26" t="n">
        <v>46078</v>
      </c>
      <c r="G7" s="14">
        <f>IF(F7="","",TODAY()-F7)</f>
        <v/>
      </c>
      <c r="H7" s="26" t="n">
        <v>46343</v>
      </c>
      <c r="I7" s="15">
        <f>IF(OR(B7="",D7=""),"",D7*VLOOKUP(B7,Lookup!$A$2:$B$5,2,FALSE))</f>
        <v/>
      </c>
      <c r="J7" s="15">
        <f>IF(OR(I7="",E7=""),"",I7*E7)</f>
        <v/>
      </c>
    </row>
    <row r="8">
      <c r="A8" s="16" t="inlineStr">
        <is>
          <t>Zenith Software</t>
        </is>
      </c>
      <c r="B8" s="16" t="inlineStr">
        <is>
          <t>Deposits</t>
        </is>
      </c>
      <c r="C8" s="16" t="inlineStr">
        <is>
          <t>Proposal</t>
        </is>
      </c>
      <c r="D8" s="17" t="n">
        <v>5664478.31</v>
      </c>
      <c r="E8" s="12" t="n">
        <v>0.5112</v>
      </c>
      <c r="F8" s="27" t="n">
        <v>46151</v>
      </c>
      <c r="G8" s="14">
        <f>IF(F8="","",TODAY()-F8)</f>
        <v/>
      </c>
      <c r="H8" s="27" t="n">
        <v>46299</v>
      </c>
      <c r="I8" s="15">
        <f>IF(OR(B8="",D8=""),"",D8*VLOOKUP(B8,Lookup!$A$2:$B$5,2,FALSE))</f>
        <v/>
      </c>
      <c r="J8" s="15">
        <f>IF(OR(I8="",E8=""),"",I8*E8)</f>
        <v/>
      </c>
      <c r="K8" s="16" t="n"/>
    </row>
    <row r="9">
      <c r="A9" t="inlineStr">
        <is>
          <t>Alamo Equipment</t>
        </is>
      </c>
      <c r="B9" t="inlineStr">
        <is>
          <t>Treasury Mgmt</t>
        </is>
      </c>
      <c r="C9" t="inlineStr">
        <is>
          <t>Commit</t>
        </is>
      </c>
      <c r="D9" s="6" t="n">
        <v>250208.93</v>
      </c>
      <c r="E9" s="12" t="n">
        <v>0.8488</v>
      </c>
      <c r="F9" s="26" t="n">
        <v>46131</v>
      </c>
      <c r="G9" s="14">
        <f>IF(F9="","",TODAY()-F9)</f>
        <v/>
      </c>
      <c r="H9" s="26" t="n">
        <v>46269</v>
      </c>
      <c r="I9" s="15">
        <f>IF(OR(B9="",D9=""),"",D9*VLOOKUP(B9,Lookup!$A$2:$B$5,2,FALSE))</f>
        <v/>
      </c>
      <c r="J9" s="15">
        <f>IF(OR(I9="",E9=""),"",I9*E9)</f>
        <v/>
      </c>
    </row>
    <row r="10">
      <c r="A10" s="16" t="n"/>
      <c r="B10" s="16" t="n"/>
      <c r="C10" s="16" t="n"/>
      <c r="D10" s="17" t="n"/>
      <c r="E10" s="12">
        <f>IF(C10="","",VLOOKUP(C10,Lookup!$D$2:$E$6,2,FALSE))</f>
        <v/>
      </c>
      <c r="F10" s="27" t="n"/>
      <c r="G10" s="14">
        <f>IF(F10="","",TODAY()-F10)</f>
        <v/>
      </c>
      <c r="H10" s="27" t="n"/>
      <c r="I10" s="15">
        <f>IF(OR(B10="",D10=""),"",D10*VLOOKUP(B10,Lookup!$A$2:$B$5,2,FALSE))</f>
        <v/>
      </c>
      <c r="J10" s="15">
        <f>IF(OR(I10="",E10=""),"",I10*E10)</f>
        <v/>
      </c>
      <c r="K10" s="16" t="n"/>
    </row>
    <row r="11">
      <c r="D11" s="6" t="n"/>
      <c r="E11" s="12">
        <f>IF(C11="","",VLOOKUP(C11,Lookup!$D$2:$E$6,2,FALSE))</f>
        <v/>
      </c>
      <c r="F11" s="26" t="n"/>
      <c r="G11" s="14">
        <f>IF(F11="","",TODAY()-F11)</f>
        <v/>
      </c>
      <c r="H11" s="26" t="n"/>
      <c r="I11" s="15">
        <f>IF(OR(B11="",D11=""),"",D11*VLOOKUP(B11,Lookup!$A$2:$B$5,2,FALSE))</f>
        <v/>
      </c>
      <c r="J11" s="15">
        <f>IF(OR(I11="",E11=""),"",I11*E11)</f>
        <v/>
      </c>
    </row>
    <row r="12">
      <c r="A12" s="16" t="n"/>
      <c r="B12" s="16" t="n"/>
      <c r="C12" s="16" t="n"/>
      <c r="D12" s="17" t="n"/>
      <c r="E12" s="12">
        <f>IF(C12="","",VLOOKUP(C12,Lookup!$D$2:$E$6,2,FALSE))</f>
        <v/>
      </c>
      <c r="F12" s="27" t="n"/>
      <c r="G12" s="14">
        <f>IF(F12="","",TODAY()-F12)</f>
        <v/>
      </c>
      <c r="H12" s="27" t="n"/>
      <c r="I12" s="15">
        <f>IF(OR(B12="",D12=""),"",D12*VLOOKUP(B12,Lookup!$A$2:$B$5,2,FALSE))</f>
        <v/>
      </c>
      <c r="J12" s="15">
        <f>IF(OR(I12="",E12=""),"",I12*E12)</f>
        <v/>
      </c>
      <c r="K12" s="16" t="n"/>
    </row>
    <row r="13">
      <c r="D13" s="6" t="n"/>
      <c r="E13" s="12">
        <f>IF(C13="","",VLOOKUP(C13,Lookup!$D$2:$E$6,2,FALSE))</f>
        <v/>
      </c>
      <c r="F13" s="26" t="n"/>
      <c r="G13" s="14">
        <f>IF(F13="","",TODAY()-F13)</f>
        <v/>
      </c>
      <c r="H13" s="26" t="n"/>
      <c r="I13" s="15">
        <f>IF(OR(B13="",D13=""),"",D13*VLOOKUP(B13,Lookup!$A$2:$B$5,2,FALSE))</f>
        <v/>
      </c>
      <c r="J13" s="15">
        <f>IF(OR(I13="",E13=""),"",I13*E13)</f>
        <v/>
      </c>
    </row>
    <row r="14">
      <c r="A14" s="16" t="n"/>
      <c r="B14" s="16" t="n"/>
      <c r="C14" s="16" t="n"/>
      <c r="D14" s="17" t="n"/>
      <c r="E14" s="12">
        <f>IF(C14="","",VLOOKUP(C14,Lookup!$D$2:$E$6,2,FALSE))</f>
        <v/>
      </c>
      <c r="F14" s="27" t="n"/>
      <c r="G14" s="14">
        <f>IF(F14="","",TODAY()-F14)</f>
        <v/>
      </c>
      <c r="H14" s="27" t="n"/>
      <c r="I14" s="15">
        <f>IF(OR(B14="",D14=""),"",D14*VLOOKUP(B14,Lookup!$A$2:$B$5,2,FALSE))</f>
        <v/>
      </c>
      <c r="J14" s="15">
        <f>IF(OR(I14="",E14=""),"",I14*E14)</f>
        <v/>
      </c>
      <c r="K14" s="16" t="n"/>
    </row>
    <row r="15">
      <c r="D15" s="6" t="n"/>
      <c r="E15" s="12">
        <f>IF(C15="","",VLOOKUP(C15,Lookup!$D$2:$E$6,2,FALSE))</f>
        <v/>
      </c>
      <c r="F15" s="26" t="n"/>
      <c r="G15" s="14">
        <f>IF(F15="","",TODAY()-F15)</f>
        <v/>
      </c>
      <c r="H15" s="26" t="n"/>
      <c r="I15" s="15">
        <f>IF(OR(B15="",D15=""),"",D15*VLOOKUP(B15,Lookup!$A$2:$B$5,2,FALSE))</f>
        <v/>
      </c>
      <c r="J15" s="15">
        <f>IF(OR(I15="",E15=""),"",I15*E15)</f>
        <v/>
      </c>
    </row>
    <row r="16">
      <c r="A16" s="16" t="n"/>
      <c r="B16" s="16" t="n"/>
      <c r="C16" s="16" t="n"/>
      <c r="D16" s="17" t="n"/>
      <c r="E16" s="12">
        <f>IF(C16="","",VLOOKUP(C16,Lookup!$D$2:$E$6,2,FALSE))</f>
        <v/>
      </c>
      <c r="F16" s="27" t="n"/>
      <c r="G16" s="14">
        <f>IF(F16="","",TODAY()-F16)</f>
        <v/>
      </c>
      <c r="H16" s="27" t="n"/>
      <c r="I16" s="15">
        <f>IF(OR(B16="",D16=""),"",D16*VLOOKUP(B16,Lookup!$A$2:$B$5,2,FALSE))</f>
        <v/>
      </c>
      <c r="J16" s="15">
        <f>IF(OR(I16="",E16=""),"",I16*E16)</f>
        <v/>
      </c>
      <c r="K16" s="16" t="n"/>
    </row>
    <row r="17">
      <c r="D17" s="6" t="n"/>
      <c r="E17" s="12">
        <f>IF(C17="","",VLOOKUP(C17,Lookup!$D$2:$E$6,2,FALSE))</f>
        <v/>
      </c>
      <c r="F17" s="26" t="n"/>
      <c r="G17" s="14">
        <f>IF(F17="","",TODAY()-F17)</f>
        <v/>
      </c>
      <c r="H17" s="26" t="n"/>
      <c r="I17" s="15">
        <f>IF(OR(B17="",D17=""),"",D17*VLOOKUP(B17,Lookup!$A$2:$B$5,2,FALSE))</f>
        <v/>
      </c>
      <c r="J17" s="15">
        <f>IF(OR(I17="",E17=""),"",I17*E17)</f>
        <v/>
      </c>
    </row>
    <row r="18">
      <c r="A18" s="16" t="n"/>
      <c r="B18" s="16" t="n"/>
      <c r="C18" s="16" t="n"/>
      <c r="D18" s="17" t="n"/>
      <c r="E18" s="12">
        <f>IF(C18="","",VLOOKUP(C18,Lookup!$D$2:$E$6,2,FALSE))</f>
        <v/>
      </c>
      <c r="F18" s="27" t="n"/>
      <c r="G18" s="14">
        <f>IF(F18="","",TODAY()-F18)</f>
        <v/>
      </c>
      <c r="H18" s="27" t="n"/>
      <c r="I18" s="15">
        <f>IF(OR(B18="",D18=""),"",D18*VLOOKUP(B18,Lookup!$A$2:$B$5,2,FALSE))</f>
        <v/>
      </c>
      <c r="J18" s="15">
        <f>IF(OR(I18="",E18=""),"",I18*E18)</f>
        <v/>
      </c>
      <c r="K18" s="16" t="n"/>
    </row>
    <row r="19">
      <c r="D19" s="6" t="n"/>
      <c r="E19" s="12">
        <f>IF(C19="","",VLOOKUP(C19,Lookup!$D$2:$E$6,2,FALSE))</f>
        <v/>
      </c>
      <c r="F19" s="26" t="n"/>
      <c r="G19" s="14">
        <f>IF(F19="","",TODAY()-F19)</f>
        <v/>
      </c>
      <c r="H19" s="26" t="n"/>
      <c r="I19" s="15">
        <f>IF(OR(B19="",D19=""),"",D19*VLOOKUP(B19,Lookup!$A$2:$B$5,2,FALSE))</f>
        <v/>
      </c>
      <c r="J19" s="15">
        <f>IF(OR(I19="",E19=""),"",I19*E19)</f>
        <v/>
      </c>
    </row>
    <row r="20">
      <c r="A20" s="16" t="n"/>
      <c r="B20" s="16" t="n"/>
      <c r="C20" s="16" t="n"/>
      <c r="D20" s="17" t="n"/>
      <c r="E20" s="12">
        <f>IF(C20="","",VLOOKUP(C20,Lookup!$D$2:$E$6,2,FALSE))</f>
        <v/>
      </c>
      <c r="F20" s="27" t="n"/>
      <c r="G20" s="14">
        <f>IF(F20="","",TODAY()-F20)</f>
        <v/>
      </c>
      <c r="H20" s="27" t="n"/>
      <c r="I20" s="15">
        <f>IF(OR(B20="",D20=""),"",D20*VLOOKUP(B20,Lookup!$A$2:$B$5,2,FALSE))</f>
        <v/>
      </c>
      <c r="J20" s="15">
        <f>IF(OR(I20="",E20=""),"",I20*E20)</f>
        <v/>
      </c>
      <c r="K20" s="16" t="n"/>
    </row>
    <row r="21">
      <c r="D21" s="6" t="n"/>
      <c r="E21" s="12">
        <f>IF(C21="","",VLOOKUP(C21,Lookup!$D$2:$E$6,2,FALSE))</f>
        <v/>
      </c>
      <c r="F21" s="26" t="n"/>
      <c r="G21" s="14">
        <f>IF(F21="","",TODAY()-F21)</f>
        <v/>
      </c>
      <c r="H21" s="26" t="n"/>
      <c r="I21" s="15">
        <f>IF(OR(B21="",D21=""),"",D21*VLOOKUP(B21,Lookup!$A$2:$B$5,2,FALSE))</f>
        <v/>
      </c>
      <c r="J21" s="15">
        <f>IF(OR(I21="",E21=""),"",I21*E21)</f>
        <v/>
      </c>
    </row>
    <row r="22">
      <c r="A22" s="16" t="n"/>
      <c r="B22" s="16" t="n"/>
      <c r="C22" s="16" t="n"/>
      <c r="D22" s="17" t="n"/>
      <c r="E22" s="12">
        <f>IF(C22="","",VLOOKUP(C22,Lookup!$D$2:$E$6,2,FALSE))</f>
        <v/>
      </c>
      <c r="F22" s="27" t="n"/>
      <c r="G22" s="14">
        <f>IF(F22="","",TODAY()-F22)</f>
        <v/>
      </c>
      <c r="H22" s="27" t="n"/>
      <c r="I22" s="15">
        <f>IF(OR(B22="",D22=""),"",D22*VLOOKUP(B22,Lookup!$A$2:$B$5,2,FALSE))</f>
        <v/>
      </c>
      <c r="J22" s="15">
        <f>IF(OR(I22="",E22=""),"",I22*E22)</f>
        <v/>
      </c>
      <c r="K22" s="16" t="n"/>
    </row>
    <row r="23">
      <c r="D23" s="6" t="n"/>
      <c r="E23" s="12">
        <f>IF(C23="","",VLOOKUP(C23,Lookup!$D$2:$E$6,2,FALSE))</f>
        <v/>
      </c>
      <c r="F23" s="26" t="n"/>
      <c r="G23" s="14">
        <f>IF(F23="","",TODAY()-F23)</f>
        <v/>
      </c>
      <c r="H23" s="26" t="n"/>
      <c r="I23" s="15">
        <f>IF(OR(B23="",D23=""),"",D23*VLOOKUP(B23,Lookup!$A$2:$B$5,2,FALSE))</f>
        <v/>
      </c>
      <c r="J23" s="15">
        <f>IF(OR(I23="",E23=""),"",I23*E23)</f>
        <v/>
      </c>
    </row>
    <row r="24">
      <c r="A24" s="16" t="n"/>
      <c r="B24" s="16" t="n"/>
      <c r="C24" s="16" t="n"/>
      <c r="D24" s="17" t="n"/>
      <c r="E24" s="12">
        <f>IF(C24="","",VLOOKUP(C24,Lookup!$D$2:$E$6,2,FALSE))</f>
        <v/>
      </c>
      <c r="F24" s="27" t="n"/>
      <c r="G24" s="14">
        <f>IF(F24="","",TODAY()-F24)</f>
        <v/>
      </c>
      <c r="H24" s="27" t="n"/>
      <c r="I24" s="15">
        <f>IF(OR(B24="",D24=""),"",D24*VLOOKUP(B24,Lookup!$A$2:$B$5,2,FALSE))</f>
        <v/>
      </c>
      <c r="J24" s="15">
        <f>IF(OR(I24="",E24=""),"",I24*E24)</f>
        <v/>
      </c>
      <c r="K24" s="16" t="n"/>
    </row>
    <row r="25">
      <c r="D25" s="6" t="n"/>
      <c r="E25" s="12">
        <f>IF(C25="","",VLOOKUP(C25,Lookup!$D$2:$E$6,2,FALSE))</f>
        <v/>
      </c>
      <c r="F25" s="26" t="n"/>
      <c r="G25" s="14">
        <f>IF(F25="","",TODAY()-F25)</f>
        <v/>
      </c>
      <c r="H25" s="26" t="n"/>
      <c r="I25" s="15">
        <f>IF(OR(B25="",D25=""),"",D25*VLOOKUP(B25,Lookup!$A$2:$B$5,2,FALSE))</f>
        <v/>
      </c>
      <c r="J25" s="15">
        <f>IF(OR(I25="",E25=""),"",I25*E25)</f>
        <v/>
      </c>
    </row>
    <row r="26">
      <c r="A26" s="16" t="n"/>
      <c r="B26" s="16" t="n"/>
      <c r="C26" s="16" t="n"/>
      <c r="D26" s="17" t="n"/>
      <c r="E26" s="12">
        <f>IF(C26="","",VLOOKUP(C26,Lookup!$D$2:$E$6,2,FALSE))</f>
        <v/>
      </c>
      <c r="F26" s="27" t="n"/>
      <c r="G26" s="14">
        <f>IF(F26="","",TODAY()-F26)</f>
        <v/>
      </c>
      <c r="H26" s="27" t="n"/>
      <c r="I26" s="15">
        <f>IF(OR(B26="",D26=""),"",D26*VLOOKUP(B26,Lookup!$A$2:$B$5,2,FALSE))</f>
        <v/>
      </c>
      <c r="J26" s="15">
        <f>IF(OR(I26="",E26=""),"",I26*E26)</f>
        <v/>
      </c>
      <c r="K26" s="16" t="n"/>
    </row>
    <row r="27">
      <c r="D27" s="6" t="n"/>
      <c r="E27" s="12">
        <f>IF(C27="","",VLOOKUP(C27,Lookup!$D$2:$E$6,2,FALSE))</f>
        <v/>
      </c>
      <c r="F27" s="26" t="n"/>
      <c r="G27" s="14">
        <f>IF(F27="","",TODAY()-F27)</f>
        <v/>
      </c>
      <c r="H27" s="26" t="n"/>
      <c r="I27" s="15">
        <f>IF(OR(B27="",D27=""),"",D27*VLOOKUP(B27,Lookup!$A$2:$B$5,2,FALSE))</f>
        <v/>
      </c>
      <c r="J27" s="15">
        <f>IF(OR(I27="",E27=""),"",I27*E27)</f>
        <v/>
      </c>
    </row>
    <row r="28">
      <c r="A28" s="16" t="n"/>
      <c r="B28" s="16" t="n"/>
      <c r="C28" s="16" t="n"/>
      <c r="D28" s="17" t="n"/>
      <c r="E28" s="12">
        <f>IF(C28="","",VLOOKUP(C28,Lookup!$D$2:$E$6,2,FALSE))</f>
        <v/>
      </c>
      <c r="F28" s="27" t="n"/>
      <c r="G28" s="14">
        <f>IF(F28="","",TODAY()-F28)</f>
        <v/>
      </c>
      <c r="H28" s="27" t="n"/>
      <c r="I28" s="15">
        <f>IF(OR(B28="",D28=""),"",D28*VLOOKUP(B28,Lookup!$A$2:$B$5,2,FALSE))</f>
        <v/>
      </c>
      <c r="J28" s="15">
        <f>IF(OR(I28="",E28=""),"",I28*E28)</f>
        <v/>
      </c>
      <c r="K28" s="16" t="n"/>
    </row>
    <row r="29">
      <c r="D29" s="6" t="n"/>
      <c r="E29" s="12">
        <f>IF(C29="","",VLOOKUP(C29,Lookup!$D$2:$E$6,2,FALSE))</f>
        <v/>
      </c>
      <c r="F29" s="26" t="n"/>
      <c r="G29" s="14">
        <f>IF(F29="","",TODAY()-F29)</f>
        <v/>
      </c>
      <c r="H29" s="26" t="n"/>
      <c r="I29" s="15">
        <f>IF(OR(B29="",D29=""),"",D29*VLOOKUP(B29,Lookup!$A$2:$B$5,2,FALSE))</f>
        <v/>
      </c>
      <c r="J29" s="15">
        <f>IF(OR(I29="",E29=""),"",I29*E29)</f>
        <v/>
      </c>
    </row>
    <row r="30">
      <c r="A30" s="16" t="n"/>
      <c r="B30" s="16" t="n"/>
      <c r="C30" s="16" t="n"/>
      <c r="D30" s="17" t="n"/>
      <c r="E30" s="12">
        <f>IF(C30="","",VLOOKUP(C30,Lookup!$D$2:$E$6,2,FALSE))</f>
        <v/>
      </c>
      <c r="F30" s="27" t="n"/>
      <c r="G30" s="14">
        <f>IF(F30="","",TODAY()-F30)</f>
        <v/>
      </c>
      <c r="H30" s="27" t="n"/>
      <c r="I30" s="15">
        <f>IF(OR(B30="",D30=""),"",D30*VLOOKUP(B30,Lookup!$A$2:$B$5,2,FALSE))</f>
        <v/>
      </c>
      <c r="J30" s="15">
        <f>IF(OR(I30="",E30=""),"",I30*E30)</f>
        <v/>
      </c>
      <c r="K30" s="16" t="n"/>
    </row>
    <row r="31">
      <c r="D31" s="6" t="n"/>
      <c r="E31" s="12">
        <f>IF(C31="","",VLOOKUP(C31,Lookup!$D$2:$E$6,2,FALSE))</f>
        <v/>
      </c>
      <c r="F31" s="26" t="n"/>
      <c r="G31" s="14">
        <f>IF(F31="","",TODAY()-F31)</f>
        <v/>
      </c>
      <c r="H31" s="26" t="n"/>
      <c r="I31" s="15">
        <f>IF(OR(B31="",D31=""),"",D31*VLOOKUP(B31,Lookup!$A$2:$B$5,2,FALSE))</f>
        <v/>
      </c>
      <c r="J31" s="15">
        <f>IF(OR(I31="",E31=""),"",I31*E31)</f>
        <v/>
      </c>
    </row>
    <row r="32">
      <c r="A32" s="16" t="n"/>
      <c r="B32" s="16" t="n"/>
      <c r="C32" s="16" t="n"/>
      <c r="D32" s="17" t="n"/>
      <c r="E32" s="12">
        <f>IF(C32="","",VLOOKUP(C32,Lookup!$D$2:$E$6,2,FALSE))</f>
        <v/>
      </c>
      <c r="F32" s="27" t="n"/>
      <c r="G32" s="14">
        <f>IF(F32="","",TODAY()-F32)</f>
        <v/>
      </c>
      <c r="H32" s="27" t="n"/>
      <c r="I32" s="15">
        <f>IF(OR(B32="",D32=""),"",D32*VLOOKUP(B32,Lookup!$A$2:$B$5,2,FALSE))</f>
        <v/>
      </c>
      <c r="J32" s="15">
        <f>IF(OR(I32="",E32=""),"",I32*E32)</f>
        <v/>
      </c>
      <c r="K32" s="16" t="n"/>
    </row>
  </sheetData>
  <mergeCells count="1">
    <mergeCell ref="A1:K1"/>
  </mergeCells>
  <conditionalFormatting sqref="G3:G32">
    <cfRule type="cellIs" priority="1" operator="greaterThan" dxfId="0">
      <formula>90</formula>
    </cfRule>
    <cfRule type="cellIs" priority="2" operator="between" dxfId="1">
      <formula>61</formula>
      <formula>90</formula>
    </cfRule>
  </conditionalFormatting>
  <dataValidations count="6">
    <dataValidation sqref="B3:B32" showDropDown="0" showInputMessage="0" showErrorMessage="1" allowBlank="1" errorTitle="Invalid product" error="Pick one of: Comm Loan, Deposits, Treasury Mgmt, Other Fees" type="list">
      <formula1>=Lookup!$A$2:$A$5</formula1>
    </dataValidation>
    <dataValidation sqref="C3:C32" showDropDown="0" showInputMessage="0" showErrorMessage="1" allowBlank="1" errorTitle="Invalid stage" error="Pick one of: Lead, Qualified, Proposal, Commit, Closed" type="list">
      <formula1>=Lookup!$D$2:$D$6</formula1>
    </dataValidation>
    <dataValidation sqref="D3:D32" showDropDown="0" showInputMessage="0" showErrorMessage="0" allowBlank="1" type="decimal" operator="greaterThanOrEqual">
      <formula1>0</formula1>
    </dataValidation>
    <dataValidation sqref="E3:E32" showDropDown="0" showInputMessage="0" showErrorMessage="0" allowBlank="1" errorTitle="Invalid probability" error="Enter a decimal between 0 and 1 (e.g. 0.25 for 25%)" type="decimal" operator="between">
      <formula1>0</formula1>
      <formula2>1</formula2>
    </dataValidation>
    <dataValidation sqref="F3:F32" showDropDown="0" showInputMessage="0" showErrorMessage="0" allowBlank="1" errorTitle="Invalid date — Date Entered Stage" error="Enter a date (mm/dd/yyyy)" type="date"/>
    <dataValidation sqref="H3:H32" showDropDown="0" showInputMessage="0" showErrorMessage="0" allowBlank="1" errorTitle="Invalid date — Expected Close" error="Enter a date (mm/dd/yyyy)" type="date"/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4" customWidth="1" min="4" max="4"/>
    <col width="12" customWidth="1" min="5" max="5"/>
    <col width="18" customWidth="1" min="6" max="6"/>
    <col width="12" customWidth="1" min="7" max="7"/>
    <col width="14" customWidth="1" min="8" max="8"/>
    <col width="16" customWidth="1" min="9" max="9"/>
    <col width="16" customWidth="1" min="10" max="10"/>
    <col width="40" customWidth="1" min="11" max="11"/>
  </cols>
  <sheetData>
    <row r="1" ht="22" customHeight="1">
      <c r="A1" s="1" t="inlineStr">
        <is>
          <t>B. Foster · Dallas · Pipeline</t>
        </is>
      </c>
    </row>
    <row r="2" ht="22" customHeight="1">
      <c r="A2" s="11" t="inlineStr">
        <is>
          <t>Customer</t>
        </is>
      </c>
      <c r="B2" s="11" t="inlineStr">
        <is>
          <t>Product</t>
        </is>
      </c>
      <c r="C2" s="11" t="inlineStr">
        <is>
          <t>Stage</t>
        </is>
      </c>
      <c r="D2" s="11" t="inlineStr">
        <is>
          <t>Amount ($)</t>
        </is>
      </c>
      <c r="E2" s="11" t="inlineStr">
        <is>
          <t>Probability</t>
        </is>
      </c>
      <c r="F2" s="11" t="inlineStr">
        <is>
          <t>Date Entered Stage</t>
        </is>
      </c>
      <c r="G2" s="11" t="inlineStr">
        <is>
          <t>Days in Stage</t>
        </is>
      </c>
      <c r="H2" s="11" t="inlineStr">
        <is>
          <t>Expected Close</t>
        </is>
      </c>
      <c r="I2" s="11" t="inlineStr">
        <is>
          <t>Annual Rev ($)</t>
        </is>
      </c>
      <c r="J2" s="11" t="inlineStr">
        <is>
          <t>Weighted Rev ($)</t>
        </is>
      </c>
      <c r="K2" s="11" t="inlineStr">
        <is>
          <t>Notes</t>
        </is>
      </c>
    </row>
    <row r="3">
      <c r="A3" t="inlineStr">
        <is>
          <t>Evergreen Realty</t>
        </is>
      </c>
      <c r="B3" t="inlineStr">
        <is>
          <t>Deposits</t>
        </is>
      </c>
      <c r="C3" t="inlineStr">
        <is>
          <t>Qualified</t>
        </is>
      </c>
      <c r="D3" s="6" t="n">
        <v>4276478.29</v>
      </c>
      <c r="E3" s="12" t="n">
        <v>0.2008</v>
      </c>
      <c r="F3" s="26" t="n">
        <v>46129</v>
      </c>
      <c r="G3" s="14">
        <f>IF(F3="","",TODAY()-F3)</f>
        <v/>
      </c>
      <c r="H3" s="26" t="n">
        <v>46339</v>
      </c>
      <c r="I3" s="15">
        <f>IF(OR(B3="",D3=""),"",D3*VLOOKUP(B3,Lookup!$A$2:$B$5,2,FALSE))</f>
        <v/>
      </c>
      <c r="J3" s="15">
        <f>IF(OR(I3="",E3=""),"",I3*E3)</f>
        <v/>
      </c>
    </row>
    <row r="4">
      <c r="A4" s="16" t="inlineStr">
        <is>
          <t>Fairfield Energy</t>
        </is>
      </c>
      <c r="B4" s="16" t="inlineStr">
        <is>
          <t>Other Fees</t>
        </is>
      </c>
      <c r="C4" s="16" t="inlineStr">
        <is>
          <t>Commit</t>
        </is>
      </c>
      <c r="D4" s="17" t="n">
        <v>71443.88</v>
      </c>
      <c r="E4" s="12" t="n">
        <v>0.8062</v>
      </c>
      <c r="F4" s="27" t="n">
        <v>46156</v>
      </c>
      <c r="G4" s="14">
        <f>IF(F4="","",TODAY()-F4)</f>
        <v/>
      </c>
      <c r="H4" s="27" t="n">
        <v>46285</v>
      </c>
      <c r="I4" s="15">
        <f>IF(OR(B4="",D4=""),"",D4*VLOOKUP(B4,Lookup!$A$2:$B$5,2,FALSE))</f>
        <v/>
      </c>
      <c r="J4" s="15">
        <f>IF(OR(I4="",E4=""),"",I4*E4)</f>
        <v/>
      </c>
      <c r="K4" s="16" t="n"/>
    </row>
    <row r="5">
      <c r="A5" t="inlineStr">
        <is>
          <t>Galleon Logistics</t>
        </is>
      </c>
      <c r="B5" t="inlineStr">
        <is>
          <t>Comm Loan</t>
        </is>
      </c>
      <c r="C5" t="inlineStr">
        <is>
          <t>Proposal</t>
        </is>
      </c>
      <c r="D5" s="6" t="n">
        <v>3318345.97</v>
      </c>
      <c r="E5" s="12" t="n">
        <v>0.5425</v>
      </c>
      <c r="F5" s="26" t="n">
        <v>46158</v>
      </c>
      <c r="G5" s="14">
        <f>IF(F5="","",TODAY()-F5)</f>
        <v/>
      </c>
      <c r="H5" s="26" t="n">
        <v>46302</v>
      </c>
      <c r="I5" s="15">
        <f>IF(OR(B5="",D5=""),"",D5*VLOOKUP(B5,Lookup!$A$2:$B$5,2,FALSE))</f>
        <v/>
      </c>
      <c r="J5" s="15">
        <f>IF(OR(I5="",E5=""),"",I5*E5)</f>
        <v/>
      </c>
    </row>
    <row r="6">
      <c r="A6" s="16" t="inlineStr">
        <is>
          <t>Harbor Partners</t>
        </is>
      </c>
      <c r="B6" s="16" t="inlineStr">
        <is>
          <t>Deposits</t>
        </is>
      </c>
      <c r="C6" s="16" t="inlineStr">
        <is>
          <t>Lead</t>
        </is>
      </c>
      <c r="D6" s="17" t="n">
        <v>942755.35</v>
      </c>
      <c r="E6" s="12" t="n">
        <v>0.0574</v>
      </c>
      <c r="F6" s="27" t="n">
        <v>46118</v>
      </c>
      <c r="G6" s="14">
        <f>IF(F6="","",TODAY()-F6)</f>
        <v/>
      </c>
      <c r="H6" s="27" t="n">
        <v>46337</v>
      </c>
      <c r="I6" s="15">
        <f>IF(OR(B6="",D6=""),"",D6*VLOOKUP(B6,Lookup!$A$2:$B$5,2,FALSE))</f>
        <v/>
      </c>
      <c r="J6" s="15">
        <f>IF(OR(I6="",E6=""),"",I6*E6)</f>
        <v/>
      </c>
      <c r="K6" s="16" t="n"/>
    </row>
    <row r="7">
      <c r="A7" t="inlineStr">
        <is>
          <t>Ironwood Capital</t>
        </is>
      </c>
      <c r="B7" t="inlineStr">
        <is>
          <t>Deposits</t>
        </is>
      </c>
      <c r="C7" t="inlineStr">
        <is>
          <t>Qualified</t>
        </is>
      </c>
      <c r="D7" s="6" t="n">
        <v>907319.76</v>
      </c>
      <c r="E7" s="12" t="n">
        <v>0.2669</v>
      </c>
      <c r="F7" s="26" t="n">
        <v>46169</v>
      </c>
      <c r="G7" s="14">
        <f>IF(F7="","",TODAY()-F7)</f>
        <v/>
      </c>
      <c r="H7" s="26" t="n">
        <v>46314</v>
      </c>
      <c r="I7" s="15">
        <f>IF(OR(B7="",D7=""),"",D7*VLOOKUP(B7,Lookup!$A$2:$B$5,2,FALSE))</f>
        <v/>
      </c>
      <c r="J7" s="15">
        <f>IF(OR(I7="",E7=""),"",I7*E7)</f>
        <v/>
      </c>
    </row>
    <row r="8">
      <c r="A8" s="16" t="inlineStr">
        <is>
          <t>Juniper Foods</t>
        </is>
      </c>
      <c r="B8" s="16" t="inlineStr">
        <is>
          <t>Comm Loan</t>
        </is>
      </c>
      <c r="C8" s="16" t="inlineStr">
        <is>
          <t>Qualified</t>
        </is>
      </c>
      <c r="D8" s="17" t="n">
        <v>14970368.89</v>
      </c>
      <c r="E8" s="12" t="n">
        <v>0.2907</v>
      </c>
      <c r="F8" s="27" t="n">
        <v>46168</v>
      </c>
      <c r="G8" s="14">
        <f>IF(F8="","",TODAY()-F8)</f>
        <v/>
      </c>
      <c r="H8" s="27" t="n">
        <v>46312</v>
      </c>
      <c r="I8" s="15">
        <f>IF(OR(B8="",D8=""),"",D8*VLOOKUP(B8,Lookup!$A$2:$B$5,2,FALSE))</f>
        <v/>
      </c>
      <c r="J8" s="15">
        <f>IF(OR(I8="",E8=""),"",I8*E8)</f>
        <v/>
      </c>
      <c r="K8" s="16" t="n"/>
    </row>
    <row r="9">
      <c r="A9" t="inlineStr">
        <is>
          <t>Keystone Steel</t>
        </is>
      </c>
      <c r="B9" t="inlineStr">
        <is>
          <t>Deposits</t>
        </is>
      </c>
      <c r="C9" t="inlineStr">
        <is>
          <t>Proposal</t>
        </is>
      </c>
      <c r="D9" s="6" t="n">
        <v>7146028.97</v>
      </c>
      <c r="E9" s="12" t="n">
        <v>0.4834</v>
      </c>
      <c r="F9" s="26" t="n">
        <v>46135</v>
      </c>
      <c r="G9" s="14">
        <f>IF(F9="","",TODAY()-F9)</f>
        <v/>
      </c>
      <c r="H9" s="26" t="n">
        <v>46304</v>
      </c>
      <c r="I9" s="15">
        <f>IF(OR(B9="",D9=""),"",D9*VLOOKUP(B9,Lookup!$A$2:$B$5,2,FALSE))</f>
        <v/>
      </c>
      <c r="J9" s="15">
        <f>IF(OR(I9="",E9=""),"",I9*E9)</f>
        <v/>
      </c>
    </row>
    <row r="10">
      <c r="A10" s="16" t="inlineStr">
        <is>
          <t>Lakeside Medical</t>
        </is>
      </c>
      <c r="B10" s="16" t="inlineStr">
        <is>
          <t>Treasury Mgmt</t>
        </is>
      </c>
      <c r="C10" s="16" t="inlineStr">
        <is>
          <t>Closed</t>
        </is>
      </c>
      <c r="D10" s="17" t="n">
        <v>36610.28</v>
      </c>
      <c r="E10" s="12" t="n">
        <v>0.9827</v>
      </c>
      <c r="F10" s="27" t="n">
        <v>46189</v>
      </c>
      <c r="G10" s="14">
        <f>IF(F10="","",TODAY()-F10)</f>
        <v/>
      </c>
      <c r="H10" s="27" t="n">
        <v>46240</v>
      </c>
      <c r="I10" s="15">
        <f>IF(OR(B10="",D10=""),"",D10*VLOOKUP(B10,Lookup!$A$2:$B$5,2,FALSE))</f>
        <v/>
      </c>
      <c r="J10" s="15">
        <f>IF(OR(I10="",E10=""),"",I10*E10)</f>
        <v/>
      </c>
      <c r="K10" s="16" t="n"/>
    </row>
    <row r="11">
      <c r="A11" t="inlineStr">
        <is>
          <t>Mason &amp; Co.</t>
        </is>
      </c>
      <c r="B11" t="inlineStr">
        <is>
          <t>Comm Loan</t>
        </is>
      </c>
      <c r="C11" t="inlineStr">
        <is>
          <t>Proposal</t>
        </is>
      </c>
      <c r="D11" s="6" t="n">
        <v>3839311.46</v>
      </c>
      <c r="E11" s="12" t="n">
        <v>0.4668</v>
      </c>
      <c r="F11" s="26" t="n">
        <v>46181</v>
      </c>
      <c r="G11" s="14">
        <f>IF(F11="","",TODAY()-F11)</f>
        <v/>
      </c>
      <c r="H11" s="26" t="n">
        <v>46279</v>
      </c>
      <c r="I11" s="15">
        <f>IF(OR(B11="",D11=""),"",D11*VLOOKUP(B11,Lookup!$A$2:$B$5,2,FALSE))</f>
        <v/>
      </c>
      <c r="J11" s="15">
        <f>IF(OR(I11="",E11=""),"",I11*E11)</f>
        <v/>
      </c>
    </row>
    <row r="12">
      <c r="A12" s="16" t="inlineStr">
        <is>
          <t>Northstar Tech</t>
        </is>
      </c>
      <c r="B12" s="16" t="inlineStr">
        <is>
          <t>Comm Loan</t>
        </is>
      </c>
      <c r="C12" s="16" t="inlineStr">
        <is>
          <t>Proposal</t>
        </is>
      </c>
      <c r="D12" s="17" t="n">
        <v>18165595.86</v>
      </c>
      <c r="E12" s="12" t="n">
        <v>0.5009</v>
      </c>
      <c r="F12" s="27" t="n">
        <v>46163</v>
      </c>
      <c r="G12" s="14">
        <f>IF(F12="","",TODAY()-F12)</f>
        <v/>
      </c>
      <c r="H12" s="27" t="n">
        <v>46301</v>
      </c>
      <c r="I12" s="15">
        <f>IF(OR(B12="",D12=""),"",D12*VLOOKUP(B12,Lookup!$A$2:$B$5,2,FALSE))</f>
        <v/>
      </c>
      <c r="J12" s="15">
        <f>IF(OR(I12="",E12=""),"",I12*E12)</f>
        <v/>
      </c>
      <c r="K12" s="16" t="n"/>
    </row>
    <row r="13">
      <c r="A13" t="inlineStr">
        <is>
          <t>Xander Aviation</t>
        </is>
      </c>
      <c r="B13" t="inlineStr">
        <is>
          <t>Treasury Mgmt</t>
        </is>
      </c>
      <c r="C13" t="inlineStr">
        <is>
          <t>Lead</t>
        </is>
      </c>
      <c r="D13" s="6" t="n">
        <v>101352.17</v>
      </c>
      <c r="E13" s="12" t="n">
        <v>0.0709</v>
      </c>
      <c r="F13" s="26" t="n">
        <v>46153</v>
      </c>
      <c r="G13" s="14">
        <f>IF(F13="","",TODAY()-F13)</f>
        <v/>
      </c>
      <c r="H13" s="26" t="n">
        <v>46354</v>
      </c>
      <c r="I13" s="15">
        <f>IF(OR(B13="",D13=""),"",D13*VLOOKUP(B13,Lookup!$A$2:$B$5,2,FALSE))</f>
        <v/>
      </c>
      <c r="J13" s="15">
        <f>IF(OR(I13="",E13=""),"",I13*E13)</f>
        <v/>
      </c>
    </row>
    <row r="14">
      <c r="A14" s="16" t="inlineStr">
        <is>
          <t>Yellowstone Ranch</t>
        </is>
      </c>
      <c r="B14" s="16" t="inlineStr">
        <is>
          <t>Other Fees</t>
        </is>
      </c>
      <c r="C14" s="16" t="inlineStr">
        <is>
          <t>Lead</t>
        </is>
      </c>
      <c r="D14" s="17" t="n">
        <v>4379.97</v>
      </c>
      <c r="E14" s="12" t="n">
        <v>0.08019999999999999</v>
      </c>
      <c r="F14" s="27" t="n">
        <v>46120</v>
      </c>
      <c r="G14" s="14">
        <f>IF(F14="","",TODAY()-F14)</f>
        <v/>
      </c>
      <c r="H14" s="27" t="n">
        <v>46354</v>
      </c>
      <c r="I14" s="15">
        <f>IF(OR(B14="",D14=""),"",D14*VLOOKUP(B14,Lookup!$A$2:$B$5,2,FALSE))</f>
        <v/>
      </c>
      <c r="J14" s="15">
        <f>IF(OR(I14="",E14=""),"",I14*E14)</f>
        <v/>
      </c>
      <c r="K14" s="16" t="n"/>
    </row>
    <row r="15">
      <c r="A15" t="inlineStr">
        <is>
          <t>Zenith Software</t>
        </is>
      </c>
      <c r="B15" t="inlineStr">
        <is>
          <t>Comm Loan</t>
        </is>
      </c>
      <c r="C15" t="inlineStr">
        <is>
          <t>Commit</t>
        </is>
      </c>
      <c r="D15" s="6" t="n">
        <v>9360282.949999999</v>
      </c>
      <c r="E15" s="12" t="n">
        <v>0.751</v>
      </c>
      <c r="F15" s="26" t="n">
        <v>46160</v>
      </c>
      <c r="G15" s="14">
        <f>IF(F15="","",TODAY()-F15)</f>
        <v/>
      </c>
      <c r="H15" s="26" t="n">
        <v>46247</v>
      </c>
      <c r="I15" s="15">
        <f>IF(OR(B15="",D15=""),"",D15*VLOOKUP(B15,Lookup!$A$2:$B$5,2,FALSE))</f>
        <v/>
      </c>
      <c r="J15" s="15">
        <f>IF(OR(I15="",E15=""),"",I15*E15)</f>
        <v/>
      </c>
    </row>
    <row r="16">
      <c r="A16" s="16" t="inlineStr">
        <is>
          <t>Alamo Equipment</t>
        </is>
      </c>
      <c r="B16" s="16" t="inlineStr">
        <is>
          <t>Deposits</t>
        </is>
      </c>
      <c r="C16" s="16" t="inlineStr">
        <is>
          <t>Closed</t>
        </is>
      </c>
      <c r="D16" s="17" t="n">
        <v>1565237.54</v>
      </c>
      <c r="E16" s="12" t="n">
        <v>0.9879</v>
      </c>
      <c r="F16" s="27" t="n">
        <v>46148</v>
      </c>
      <c r="G16" s="14">
        <f>IF(F16="","",TODAY()-F16)</f>
        <v/>
      </c>
      <c r="H16" s="27" t="n">
        <v>46224</v>
      </c>
      <c r="I16" s="15">
        <f>IF(OR(B16="",D16=""),"",D16*VLOOKUP(B16,Lookup!$A$2:$B$5,2,FALSE))</f>
        <v/>
      </c>
      <c r="J16" s="15">
        <f>IF(OR(I16="",E16=""),"",I16*E16)</f>
        <v/>
      </c>
      <c r="K16" s="16" t="n"/>
    </row>
    <row r="17">
      <c r="D17" s="6" t="n"/>
      <c r="E17" s="12">
        <f>IF(C17="","",VLOOKUP(C17,Lookup!$D$2:$E$6,2,FALSE))</f>
        <v/>
      </c>
      <c r="F17" s="26" t="n"/>
      <c r="G17" s="14">
        <f>IF(F17="","",TODAY()-F17)</f>
        <v/>
      </c>
      <c r="H17" s="26" t="n"/>
      <c r="I17" s="15">
        <f>IF(OR(B17="",D17=""),"",D17*VLOOKUP(B17,Lookup!$A$2:$B$5,2,FALSE))</f>
        <v/>
      </c>
      <c r="J17" s="15">
        <f>IF(OR(I17="",E17=""),"",I17*E17)</f>
        <v/>
      </c>
    </row>
    <row r="18">
      <c r="A18" s="16" t="n"/>
      <c r="B18" s="16" t="n"/>
      <c r="C18" s="16" t="n"/>
      <c r="D18" s="17" t="n"/>
      <c r="E18" s="12">
        <f>IF(C18="","",VLOOKUP(C18,Lookup!$D$2:$E$6,2,FALSE))</f>
        <v/>
      </c>
      <c r="F18" s="27" t="n"/>
      <c r="G18" s="14">
        <f>IF(F18="","",TODAY()-F18)</f>
        <v/>
      </c>
      <c r="H18" s="27" t="n"/>
      <c r="I18" s="15">
        <f>IF(OR(B18="",D18=""),"",D18*VLOOKUP(B18,Lookup!$A$2:$B$5,2,FALSE))</f>
        <v/>
      </c>
      <c r="J18" s="15">
        <f>IF(OR(I18="",E18=""),"",I18*E18)</f>
        <v/>
      </c>
      <c r="K18" s="16" t="n"/>
    </row>
    <row r="19">
      <c r="D19" s="6" t="n"/>
      <c r="E19" s="12">
        <f>IF(C19="","",VLOOKUP(C19,Lookup!$D$2:$E$6,2,FALSE))</f>
        <v/>
      </c>
      <c r="F19" s="26" t="n"/>
      <c r="G19" s="14">
        <f>IF(F19="","",TODAY()-F19)</f>
        <v/>
      </c>
      <c r="H19" s="26" t="n"/>
      <c r="I19" s="15">
        <f>IF(OR(B19="",D19=""),"",D19*VLOOKUP(B19,Lookup!$A$2:$B$5,2,FALSE))</f>
        <v/>
      </c>
      <c r="J19" s="15">
        <f>IF(OR(I19="",E19=""),"",I19*E19)</f>
        <v/>
      </c>
    </row>
    <row r="20">
      <c r="A20" s="16" t="n"/>
      <c r="B20" s="16" t="n"/>
      <c r="C20" s="16" t="n"/>
      <c r="D20" s="17" t="n"/>
      <c r="E20" s="12">
        <f>IF(C20="","",VLOOKUP(C20,Lookup!$D$2:$E$6,2,FALSE))</f>
        <v/>
      </c>
      <c r="F20" s="27" t="n"/>
      <c r="G20" s="14">
        <f>IF(F20="","",TODAY()-F20)</f>
        <v/>
      </c>
      <c r="H20" s="27" t="n"/>
      <c r="I20" s="15">
        <f>IF(OR(B20="",D20=""),"",D20*VLOOKUP(B20,Lookup!$A$2:$B$5,2,FALSE))</f>
        <v/>
      </c>
      <c r="J20" s="15">
        <f>IF(OR(I20="",E20=""),"",I20*E20)</f>
        <v/>
      </c>
      <c r="K20" s="16" t="n"/>
    </row>
    <row r="21">
      <c r="D21" s="6" t="n"/>
      <c r="E21" s="12">
        <f>IF(C21="","",VLOOKUP(C21,Lookup!$D$2:$E$6,2,FALSE))</f>
        <v/>
      </c>
      <c r="F21" s="26" t="n"/>
      <c r="G21" s="14">
        <f>IF(F21="","",TODAY()-F21)</f>
        <v/>
      </c>
      <c r="H21" s="26" t="n"/>
      <c r="I21" s="15">
        <f>IF(OR(B21="",D21=""),"",D21*VLOOKUP(B21,Lookup!$A$2:$B$5,2,FALSE))</f>
        <v/>
      </c>
      <c r="J21" s="15">
        <f>IF(OR(I21="",E21=""),"",I21*E21)</f>
        <v/>
      </c>
    </row>
    <row r="22">
      <c r="A22" s="16" t="n"/>
      <c r="B22" s="16" t="n"/>
      <c r="C22" s="16" t="n"/>
      <c r="D22" s="17" t="n"/>
      <c r="E22" s="12">
        <f>IF(C22="","",VLOOKUP(C22,Lookup!$D$2:$E$6,2,FALSE))</f>
        <v/>
      </c>
      <c r="F22" s="27" t="n"/>
      <c r="G22" s="14">
        <f>IF(F22="","",TODAY()-F22)</f>
        <v/>
      </c>
      <c r="H22" s="27" t="n"/>
      <c r="I22" s="15">
        <f>IF(OR(B22="",D22=""),"",D22*VLOOKUP(B22,Lookup!$A$2:$B$5,2,FALSE))</f>
        <v/>
      </c>
      <c r="J22" s="15">
        <f>IF(OR(I22="",E22=""),"",I22*E22)</f>
        <v/>
      </c>
      <c r="K22" s="16" t="n"/>
    </row>
    <row r="23">
      <c r="D23" s="6" t="n"/>
      <c r="E23" s="12">
        <f>IF(C23="","",VLOOKUP(C23,Lookup!$D$2:$E$6,2,FALSE))</f>
        <v/>
      </c>
      <c r="F23" s="26" t="n"/>
      <c r="G23" s="14">
        <f>IF(F23="","",TODAY()-F23)</f>
        <v/>
      </c>
      <c r="H23" s="26" t="n"/>
      <c r="I23" s="15">
        <f>IF(OR(B23="",D23=""),"",D23*VLOOKUP(B23,Lookup!$A$2:$B$5,2,FALSE))</f>
        <v/>
      </c>
      <c r="J23" s="15">
        <f>IF(OR(I23="",E23=""),"",I23*E23)</f>
        <v/>
      </c>
    </row>
    <row r="24">
      <c r="A24" s="16" t="n"/>
      <c r="B24" s="16" t="n"/>
      <c r="C24" s="16" t="n"/>
      <c r="D24" s="17" t="n"/>
      <c r="E24" s="12">
        <f>IF(C24="","",VLOOKUP(C24,Lookup!$D$2:$E$6,2,FALSE))</f>
        <v/>
      </c>
      <c r="F24" s="27" t="n"/>
      <c r="G24" s="14">
        <f>IF(F24="","",TODAY()-F24)</f>
        <v/>
      </c>
      <c r="H24" s="27" t="n"/>
      <c r="I24" s="15">
        <f>IF(OR(B24="",D24=""),"",D24*VLOOKUP(B24,Lookup!$A$2:$B$5,2,FALSE))</f>
        <v/>
      </c>
      <c r="J24" s="15">
        <f>IF(OR(I24="",E24=""),"",I24*E24)</f>
        <v/>
      </c>
      <c r="K24" s="16" t="n"/>
    </row>
    <row r="25">
      <c r="D25" s="6" t="n"/>
      <c r="E25" s="12">
        <f>IF(C25="","",VLOOKUP(C25,Lookup!$D$2:$E$6,2,FALSE))</f>
        <v/>
      </c>
      <c r="F25" s="26" t="n"/>
      <c r="G25" s="14">
        <f>IF(F25="","",TODAY()-F25)</f>
        <v/>
      </c>
      <c r="H25" s="26" t="n"/>
      <c r="I25" s="15">
        <f>IF(OR(B25="",D25=""),"",D25*VLOOKUP(B25,Lookup!$A$2:$B$5,2,FALSE))</f>
        <v/>
      </c>
      <c r="J25" s="15">
        <f>IF(OR(I25="",E25=""),"",I25*E25)</f>
        <v/>
      </c>
    </row>
    <row r="26">
      <c r="A26" s="16" t="n"/>
      <c r="B26" s="16" t="n"/>
      <c r="C26" s="16" t="n"/>
      <c r="D26" s="17" t="n"/>
      <c r="E26" s="12">
        <f>IF(C26="","",VLOOKUP(C26,Lookup!$D$2:$E$6,2,FALSE))</f>
        <v/>
      </c>
      <c r="F26" s="27" t="n"/>
      <c r="G26" s="14">
        <f>IF(F26="","",TODAY()-F26)</f>
        <v/>
      </c>
      <c r="H26" s="27" t="n"/>
      <c r="I26" s="15">
        <f>IF(OR(B26="",D26=""),"",D26*VLOOKUP(B26,Lookup!$A$2:$B$5,2,FALSE))</f>
        <v/>
      </c>
      <c r="J26" s="15">
        <f>IF(OR(I26="",E26=""),"",I26*E26)</f>
        <v/>
      </c>
      <c r="K26" s="16" t="n"/>
    </row>
    <row r="27">
      <c r="D27" s="6" t="n"/>
      <c r="E27" s="12">
        <f>IF(C27="","",VLOOKUP(C27,Lookup!$D$2:$E$6,2,FALSE))</f>
        <v/>
      </c>
      <c r="F27" s="26" t="n"/>
      <c r="G27" s="14">
        <f>IF(F27="","",TODAY()-F27)</f>
        <v/>
      </c>
      <c r="H27" s="26" t="n"/>
      <c r="I27" s="15">
        <f>IF(OR(B27="",D27=""),"",D27*VLOOKUP(B27,Lookup!$A$2:$B$5,2,FALSE))</f>
        <v/>
      </c>
      <c r="J27" s="15">
        <f>IF(OR(I27="",E27=""),"",I27*E27)</f>
        <v/>
      </c>
    </row>
    <row r="28">
      <c r="A28" s="16" t="n"/>
      <c r="B28" s="16" t="n"/>
      <c r="C28" s="16" t="n"/>
      <c r="D28" s="17" t="n"/>
      <c r="E28" s="12">
        <f>IF(C28="","",VLOOKUP(C28,Lookup!$D$2:$E$6,2,FALSE))</f>
        <v/>
      </c>
      <c r="F28" s="27" t="n"/>
      <c r="G28" s="14">
        <f>IF(F28="","",TODAY()-F28)</f>
        <v/>
      </c>
      <c r="H28" s="27" t="n"/>
      <c r="I28" s="15">
        <f>IF(OR(B28="",D28=""),"",D28*VLOOKUP(B28,Lookup!$A$2:$B$5,2,FALSE))</f>
        <v/>
      </c>
      <c r="J28" s="15">
        <f>IF(OR(I28="",E28=""),"",I28*E28)</f>
        <v/>
      </c>
      <c r="K28" s="16" t="n"/>
    </row>
    <row r="29">
      <c r="D29" s="6" t="n"/>
      <c r="E29" s="12">
        <f>IF(C29="","",VLOOKUP(C29,Lookup!$D$2:$E$6,2,FALSE))</f>
        <v/>
      </c>
      <c r="F29" s="26" t="n"/>
      <c r="G29" s="14">
        <f>IF(F29="","",TODAY()-F29)</f>
        <v/>
      </c>
      <c r="H29" s="26" t="n"/>
      <c r="I29" s="15">
        <f>IF(OR(B29="",D29=""),"",D29*VLOOKUP(B29,Lookup!$A$2:$B$5,2,FALSE))</f>
        <v/>
      </c>
      <c r="J29" s="15">
        <f>IF(OR(I29="",E29=""),"",I29*E29)</f>
        <v/>
      </c>
    </row>
    <row r="30">
      <c r="A30" s="16" t="n"/>
      <c r="B30" s="16" t="n"/>
      <c r="C30" s="16" t="n"/>
      <c r="D30" s="17" t="n"/>
      <c r="E30" s="12">
        <f>IF(C30="","",VLOOKUP(C30,Lookup!$D$2:$E$6,2,FALSE))</f>
        <v/>
      </c>
      <c r="F30" s="27" t="n"/>
      <c r="G30" s="14">
        <f>IF(F30="","",TODAY()-F30)</f>
        <v/>
      </c>
      <c r="H30" s="27" t="n"/>
      <c r="I30" s="15">
        <f>IF(OR(B30="",D30=""),"",D30*VLOOKUP(B30,Lookup!$A$2:$B$5,2,FALSE))</f>
        <v/>
      </c>
      <c r="J30" s="15">
        <f>IF(OR(I30="",E30=""),"",I30*E30)</f>
        <v/>
      </c>
      <c r="K30" s="16" t="n"/>
    </row>
    <row r="31">
      <c r="D31" s="6" t="n"/>
      <c r="E31" s="12">
        <f>IF(C31="","",VLOOKUP(C31,Lookup!$D$2:$E$6,2,FALSE))</f>
        <v/>
      </c>
      <c r="F31" s="26" t="n"/>
      <c r="G31" s="14">
        <f>IF(F31="","",TODAY()-F31)</f>
        <v/>
      </c>
      <c r="H31" s="26" t="n"/>
      <c r="I31" s="15">
        <f>IF(OR(B31="",D31=""),"",D31*VLOOKUP(B31,Lookup!$A$2:$B$5,2,FALSE))</f>
        <v/>
      </c>
      <c r="J31" s="15">
        <f>IF(OR(I31="",E31=""),"",I31*E31)</f>
        <v/>
      </c>
    </row>
    <row r="32">
      <c r="A32" s="16" t="n"/>
      <c r="B32" s="16" t="n"/>
      <c r="C32" s="16" t="n"/>
      <c r="D32" s="17" t="n"/>
      <c r="E32" s="12">
        <f>IF(C32="","",VLOOKUP(C32,Lookup!$D$2:$E$6,2,FALSE))</f>
        <v/>
      </c>
      <c r="F32" s="27" t="n"/>
      <c r="G32" s="14">
        <f>IF(F32="","",TODAY()-F32)</f>
        <v/>
      </c>
      <c r="H32" s="27" t="n"/>
      <c r="I32" s="15">
        <f>IF(OR(B32="",D32=""),"",D32*VLOOKUP(B32,Lookup!$A$2:$B$5,2,FALSE))</f>
        <v/>
      </c>
      <c r="J32" s="15">
        <f>IF(OR(I32="",E32=""),"",I32*E32)</f>
        <v/>
      </c>
      <c r="K32" s="16" t="n"/>
    </row>
  </sheetData>
  <mergeCells count="1">
    <mergeCell ref="A1:K1"/>
  </mergeCells>
  <conditionalFormatting sqref="G3:G32">
    <cfRule type="cellIs" priority="1" operator="greaterThan" dxfId="0">
      <formula>90</formula>
    </cfRule>
    <cfRule type="cellIs" priority="2" operator="between" dxfId="1">
      <formula>61</formula>
      <formula>90</formula>
    </cfRule>
  </conditionalFormatting>
  <dataValidations count="6">
    <dataValidation sqref="B3:B32" showDropDown="0" showInputMessage="0" showErrorMessage="1" allowBlank="1" errorTitle="Invalid product" error="Pick one of: Comm Loan, Deposits, Treasury Mgmt, Other Fees" type="list">
      <formula1>=Lookup!$A$2:$A$5</formula1>
    </dataValidation>
    <dataValidation sqref="C3:C32" showDropDown="0" showInputMessage="0" showErrorMessage="1" allowBlank="1" errorTitle="Invalid stage" error="Pick one of: Lead, Qualified, Proposal, Commit, Closed" type="list">
      <formula1>=Lookup!$D$2:$D$6</formula1>
    </dataValidation>
    <dataValidation sqref="D3:D32" showDropDown="0" showInputMessage="0" showErrorMessage="0" allowBlank="1" type="decimal" operator="greaterThanOrEqual">
      <formula1>0</formula1>
    </dataValidation>
    <dataValidation sqref="E3:E32" showDropDown="0" showInputMessage="0" showErrorMessage="0" allowBlank="1" errorTitle="Invalid probability" error="Enter a decimal between 0 and 1 (e.g. 0.25 for 25%)" type="decimal" operator="between">
      <formula1>0</formula1>
      <formula2>1</formula2>
    </dataValidation>
    <dataValidation sqref="F3:F32" showDropDown="0" showInputMessage="0" showErrorMessage="0" allowBlank="1" errorTitle="Invalid date — Date Entered Stage" error="Enter a date (mm/dd/yyyy)" type="date"/>
    <dataValidation sqref="H3:H32" showDropDown="0" showInputMessage="0" showErrorMessage="0" allowBlank="1" errorTitle="Invalid date — Expected Close" error="Enter a date (mm/dd/yyyy)" type="date"/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4" max="4"/>
    <col width="14" customWidth="1" min="5" max="5"/>
    <col width="14" customWidth="1" min="7" max="7"/>
    <col width="14" customWidth="1" min="8" max="8"/>
  </cols>
  <sheetData>
    <row r="1">
      <c r="A1" s="19" t="inlineStr">
        <is>
          <t>Product</t>
        </is>
      </c>
      <c r="B1" s="19" t="inlineStr">
        <is>
          <t>Spread</t>
        </is>
      </c>
      <c r="D1" s="19" t="inlineStr">
        <is>
          <t>Stage</t>
        </is>
      </c>
      <c r="E1" s="19" t="inlineStr">
        <is>
          <t>Probability</t>
        </is>
      </c>
      <c r="G1" s="19" t="inlineStr">
        <is>
          <t>RMs</t>
        </is>
      </c>
      <c r="H1" s="19" t="inlineStr">
        <is>
          <t>Market</t>
        </is>
      </c>
    </row>
    <row r="2">
      <c r="A2" t="inlineStr">
        <is>
          <t>Comm Loan</t>
        </is>
      </c>
      <c r="B2" t="n">
        <v>0.034</v>
      </c>
      <c r="D2" t="inlineStr">
        <is>
          <t>Lead</t>
        </is>
      </c>
      <c r="E2" t="n">
        <v>0.1</v>
      </c>
      <c r="G2" t="inlineStr">
        <is>
          <t>M. Reyes</t>
        </is>
      </c>
      <c r="H2" t="inlineStr">
        <is>
          <t>Houston</t>
        </is>
      </c>
    </row>
    <row r="3">
      <c r="A3" t="inlineStr">
        <is>
          <t>Deposits</t>
        </is>
      </c>
      <c r="B3" t="n">
        <v>0.005</v>
      </c>
      <c r="D3" t="inlineStr">
        <is>
          <t>Qualified</t>
        </is>
      </c>
      <c r="E3" t="n">
        <v>0.25</v>
      </c>
      <c r="G3" t="inlineStr">
        <is>
          <t>D. Patel</t>
        </is>
      </c>
      <c r="H3" t="inlineStr">
        <is>
          <t>Houston</t>
        </is>
      </c>
    </row>
    <row r="4">
      <c r="A4" t="inlineStr">
        <is>
          <t>Treasury Mgmt</t>
        </is>
      </c>
      <c r="B4" t="n">
        <v>1</v>
      </c>
      <c r="D4" t="inlineStr">
        <is>
          <t>Proposal</t>
        </is>
      </c>
      <c r="E4" t="n">
        <v>0.5</v>
      </c>
      <c r="G4" t="inlineStr">
        <is>
          <t>A. Tran</t>
        </is>
      </c>
      <c r="H4" t="inlineStr">
        <is>
          <t>Houston</t>
        </is>
      </c>
    </row>
    <row r="5">
      <c r="A5" t="inlineStr">
        <is>
          <t>Other Fees</t>
        </is>
      </c>
      <c r="B5" t="n">
        <v>1</v>
      </c>
      <c r="D5" t="inlineStr">
        <is>
          <t>Commit</t>
        </is>
      </c>
      <c r="E5" t="n">
        <v>0.8</v>
      </c>
      <c r="G5" t="inlineStr">
        <is>
          <t>K. Williams</t>
        </is>
      </c>
      <c r="H5" t="inlineStr">
        <is>
          <t>Houston</t>
        </is>
      </c>
    </row>
    <row r="6">
      <c r="D6" t="inlineStr">
        <is>
          <t>Closed</t>
        </is>
      </c>
      <c r="E6" t="n">
        <v>1</v>
      </c>
      <c r="G6" t="inlineStr">
        <is>
          <t>R. Chen</t>
        </is>
      </c>
      <c r="H6" t="inlineStr">
        <is>
          <t>Dallas</t>
        </is>
      </c>
    </row>
    <row r="7">
      <c r="G7" t="inlineStr">
        <is>
          <t>S. Garcia</t>
        </is>
      </c>
      <c r="H7" t="inlineStr">
        <is>
          <t>Dallas</t>
        </is>
      </c>
    </row>
    <row r="8">
      <c r="G8" t="inlineStr">
        <is>
          <t>B. Foster</t>
        </is>
      </c>
      <c r="H8" t="inlineStr">
        <is>
          <t>Dallas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2026-05-19T06:57:44Z</dcterms:created>
  <dcterms:modified xsi:type="dcterms:W3CDTF">2026-05-19T11:46:52Z</dcterms:modified>
</cp:coreProperties>
</file>