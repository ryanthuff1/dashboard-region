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M. Reyes" sheetId="3" state="visible" r:id="rId3"/>
    <sheet name="D. Patel" sheetId="4" state="visible" r:id="rId4"/>
    <sheet name="A. Tran" sheetId="5" state="visible" r:id="rId5"/>
    <sheet name="K. Williams" sheetId="6" state="visible" r:id="rId6"/>
    <sheet name="R. Chen" sheetId="7" state="visible" r:id="rId7"/>
    <sheet name="S. Garcia" sheetId="8" state="visible" r:id="rId8"/>
    <sheet name="B. Foster" sheetId="9" state="visible" r:id="rId9"/>
    <sheet name="Lookup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m/d/yyyy"/>
  </numFmts>
  <fonts count="6">
    <font>
      <name val="Calibri"/>
      <family val="2"/>
      <color theme="1"/>
      <sz val="11"/>
      <scheme val="minor"/>
    </font>
    <font>
      <name val="Calibri"/>
      <b val="1"/>
      <color rgb="001864AB"/>
      <sz val="16"/>
    </font>
    <font>
      <name val="Calibri"/>
      <b val="1"/>
      <sz val="11"/>
    </font>
    <font>
      <name val="Calibri"/>
      <b val="1"/>
      <color rgb="00FFFFFF"/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864AB"/>
      </patternFill>
    </fill>
    <fill>
      <patternFill patternType="solid">
        <fgColor rgb="00212529"/>
      </patternFill>
    </fill>
    <fill>
      <patternFill patternType="solid">
        <fgColor rgb="00E9ECEF"/>
      </patternFill>
    </fill>
    <fill>
      <patternFill patternType="solid">
        <fgColor rgb="00E7F5FF"/>
      </patternFill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3" fillId="2" borderId="1" applyAlignment="1" pivotButton="0" quotePrefix="0" xfId="0">
      <alignment horizontal="center" vertical="center"/>
    </xf>
    <xf numFmtId="9" fontId="0" fillId="5" borderId="0" pivotButton="0" quotePrefix="0" xfId="0"/>
    <xf numFmtId="165" fontId="0" fillId="0" borderId="0" pivotButton="0" quotePrefix="0" xfId="0"/>
    <xf numFmtId="1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0" fontId="3" fillId="2" borderId="0" pivotButton="0" quotePrefix="0" xfId="0"/>
  </cellXfs>
  <cellStyles count="1">
    <cellStyle name="Normal" xfId="0" builtinId="0" hidden="0"/>
  </cellStyles>
  <dxfs count="2">
    <dxf>
      <font>
        <b val="1"/>
        <color rgb="009F1239"/>
      </font>
      <fill>
        <patternFill patternType="solid">
          <fgColor rgb="00FFE3E3"/>
        </patternFill>
      </fill>
    </dxf>
    <dxf>
      <font>
        <b val="1"/>
        <color rgb="0092400E"/>
      </font>
      <fill>
        <patternFill patternType="solid">
          <f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RM Pipeline Template</t>
        </is>
      </c>
    </row>
    <row r="3" ht="8" customHeight="1">
      <c r="A3" s="2" t="inlineStr"/>
      <c r="B3" s="3" t="inlineStr"/>
    </row>
    <row r="4" ht="30" customHeight="1">
      <c r="A4" s="2" t="inlineStr">
        <is>
          <t>How to use</t>
        </is>
      </c>
      <c r="B4" s="3" t="inlineStr">
        <is>
          <t>Each RM has their own tab (named with your initial + last name). Fill in only your tab. Submit the workbook when ready and the dashboard will refresh.</t>
        </is>
      </c>
    </row>
    <row r="5" ht="30" customHeight="1">
      <c r="A5" s="2" t="inlineStr">
        <is>
          <t>Tabs</t>
        </is>
      </c>
      <c r="B5" s="3" t="inlineStr">
        <is>
          <t>README · Summary (auto-calculated rollup) · one tab per RM. Lookup is hidden — leave it alone.</t>
        </is>
      </c>
    </row>
    <row r="6" ht="8" customHeight="1">
      <c r="A6" s="2" t="inlineStr"/>
      <c r="B6" s="3" t="inlineStr"/>
    </row>
    <row r="7" ht="30" customHeight="1">
      <c r="A7" s="2" t="inlineStr">
        <is>
          <t>Required</t>
        </is>
      </c>
      <c r="B7" s="3" t="inlineStr">
        <is>
          <t>Customer · Product · Stage · Amount · Date Entered Stage</t>
        </is>
      </c>
    </row>
    <row r="8" ht="30" customHeight="1">
      <c r="A8" s="2" t="inlineStr">
        <is>
          <t>Auto-filled</t>
        </is>
      </c>
      <c r="B8" s="3" t="inlineStr">
        <is>
          <t>Probability (from Stage), Days in Stage (from date), Annual Rev (from Product+Amount), Weighted Rev (Annual × Probability). Cells with these formulas are light blue.</t>
        </is>
      </c>
    </row>
    <row r="9" ht="30" customHeight="1">
      <c r="A9" s="2" t="inlineStr">
        <is>
          <t>Overriding</t>
        </is>
      </c>
      <c r="B9" s="3" t="inlineStr">
        <is>
          <t>Probability auto-fills from Stage, but you can type a number over the formula if your judgment differs.</t>
        </is>
      </c>
    </row>
    <row r="10" ht="8" customHeight="1">
      <c r="A10" s="2" t="inlineStr"/>
      <c r="B10" s="3" t="inlineStr"/>
    </row>
    <row r="11" ht="30" customHeight="1">
      <c r="A11" s="2" t="inlineStr">
        <is>
          <t>Products</t>
        </is>
      </c>
      <c r="B11" s="3" t="inlineStr">
        <is>
          <t>Comm Loan · Deposits · Treasury Mgmt · Other Fees</t>
        </is>
      </c>
    </row>
    <row r="12" ht="30" customHeight="1">
      <c r="A12" s="2" t="inlineStr">
        <is>
          <t>Stages (prob)</t>
        </is>
      </c>
      <c r="B12" s="3" t="inlineStr">
        <is>
          <t>Lead (10%) · Qualified (25%) · Proposal (50%) · Commit (80%) · Closed (100%)</t>
        </is>
      </c>
    </row>
    <row r="13" ht="8" customHeight="1">
      <c r="A13" s="2" t="inlineStr"/>
      <c r="B13" s="3" t="inlineStr"/>
    </row>
    <row r="14" ht="30" customHeight="1">
      <c r="A14" s="2" t="inlineStr">
        <is>
          <t>Amount units</t>
        </is>
      </c>
      <c r="B14" s="3" t="inlineStr">
        <is>
          <t>Comm Loan / Deposits = loan or deposit balance in dollars. Treasury Mgmt / Other Fees = annual fee revenue in dollars.</t>
        </is>
      </c>
    </row>
    <row r="15" ht="30" customHeight="1">
      <c r="A15" s="2" t="inlineStr">
        <is>
          <t>Annual rev</t>
        </is>
      </c>
      <c r="B15" s="3" t="inlineStr">
        <is>
          <t>For loans/deposits, Annual Rev = Amount × spread (3.4% commercial loan, 0.5% deposit). For TM/Other, Annual Rev = Amount as entered.</t>
        </is>
      </c>
    </row>
    <row r="16" ht="30" customHeight="1">
      <c r="A16" s="2" t="inlineStr">
        <is>
          <t>Closed deals</t>
        </is>
      </c>
      <c r="B16" s="3" t="inlineStr">
        <is>
          <t>Mark Stage = Closed when funded/booked. Closed deals count toward Closed YTD on the dashboard but are excluded from open pipeline.</t>
        </is>
      </c>
    </row>
    <row r="17" ht="8" customHeight="1">
      <c r="A17" s="2" t="inlineStr"/>
      <c r="B17" s="3" t="inlineStr"/>
    </row>
    <row r="18" ht="30" customHeight="1">
      <c r="A18" s="2" t="inlineStr">
        <is>
          <t>Aging colors</t>
        </is>
      </c>
      <c r="B18" s="3" t="inlineStr">
        <is>
          <t>Days in Stage &gt; 90 highlight red; 61-90 amber. Use these to triage stuck deals.</t>
        </is>
      </c>
    </row>
    <row r="19" ht="30" customHeight="1">
      <c r="A19" s="2" t="inlineStr">
        <is>
          <t>Notes column</t>
        </is>
      </c>
      <c r="B19" s="3" t="inlineStr">
        <is>
          <t>Free text. Use it for things the columns don't capture (credit conditions, RM commentary, blockers).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</cols>
  <sheetData>
    <row r="1" ht="22" customHeight="1">
      <c r="A1" s="1" t="inlineStr">
        <is>
          <t>Pipeline Summary (auto-calculated)</t>
        </is>
      </c>
    </row>
    <row r="2">
      <c r="A2" s="4" t="inlineStr">
        <is>
          <t>RM</t>
        </is>
      </c>
      <c r="B2" s="4" t="inlineStr">
        <is>
          <t>Market</t>
        </is>
      </c>
      <c r="C2" s="4" t="inlineStr">
        <is>
          <t># Open Deals</t>
        </is>
      </c>
      <c r="D2" s="4" t="inlineStr">
        <is>
          <t>Total Balance ($)</t>
        </is>
      </c>
      <c r="E2" s="4" t="inlineStr">
        <is>
          <t>Annual Rev ($)</t>
        </is>
      </c>
      <c r="F2" s="4" t="inlineStr">
        <is>
          <t>Weighted Rev ($)</t>
        </is>
      </c>
      <c r="G2" s="4" t="inlineStr">
        <is>
          <t>Closed YTD ($)</t>
        </is>
      </c>
    </row>
    <row r="3">
      <c r="A3" s="5" t="inlineStr">
        <is>
          <t>M. Reyes</t>
        </is>
      </c>
      <c r="B3" t="inlineStr">
        <is>
          <t>Houston</t>
        </is>
      </c>
      <c r="C3">
        <f>COUNTIFS('M. Reyes'!C3:C32,"&lt;&gt;",'M. Reyes'!C3:C32,"&lt;&gt;Closed")</f>
        <v/>
      </c>
      <c r="D3" s="6">
        <f>SUMIFS('M. Reyes'!D3:D32,'M. Reyes'!C3:C32,"&lt;&gt;Closed",'M. Reyes'!C3:C32,"&lt;&gt;")</f>
        <v/>
      </c>
      <c r="E3" s="6">
        <f>SUMIFS('M. Reyes'!I3:I32,'M. Reyes'!C3:C32,"&lt;&gt;Closed",'M. Reyes'!C3:C32,"&lt;&gt;")</f>
        <v/>
      </c>
      <c r="F3" s="6">
        <f>SUMIFS('M. Reyes'!J3:J32,'M. Reyes'!C3:C32,"&lt;&gt;Closed",'M. Reyes'!C3:C32,"&lt;&gt;")</f>
        <v/>
      </c>
      <c r="G3" s="6">
        <f>SUMIFS('M. Reyes'!I3:I32,'M. Reyes'!C3:C32,"Closed")</f>
        <v/>
      </c>
    </row>
    <row r="4">
      <c r="A4" s="5" t="inlineStr">
        <is>
          <t>D. Patel</t>
        </is>
      </c>
      <c r="B4" t="inlineStr">
        <is>
          <t>Houston</t>
        </is>
      </c>
      <c r="C4">
        <f>COUNTIFS('D. Patel'!C3:C32,"&lt;&gt;",'D. Patel'!C3:C32,"&lt;&gt;Closed")</f>
        <v/>
      </c>
      <c r="D4" s="6">
        <f>SUMIFS('D. Patel'!D3:D32,'D. Patel'!C3:C32,"&lt;&gt;Closed",'D. Patel'!C3:C32,"&lt;&gt;")</f>
        <v/>
      </c>
      <c r="E4" s="6">
        <f>SUMIFS('D. Patel'!I3:I32,'D. Patel'!C3:C32,"&lt;&gt;Closed",'D. Patel'!C3:C32,"&lt;&gt;")</f>
        <v/>
      </c>
      <c r="F4" s="6">
        <f>SUMIFS('D. Patel'!J3:J32,'D. Patel'!C3:C32,"&lt;&gt;Closed",'D. Patel'!C3:C32,"&lt;&gt;")</f>
        <v/>
      </c>
      <c r="G4" s="6">
        <f>SUMIFS('D. Patel'!I3:I32,'D. Patel'!C3:C32,"Closed")</f>
        <v/>
      </c>
    </row>
    <row r="5">
      <c r="A5" s="5" t="inlineStr">
        <is>
          <t>A. Tran</t>
        </is>
      </c>
      <c r="B5" t="inlineStr">
        <is>
          <t>Houston</t>
        </is>
      </c>
      <c r="C5">
        <f>COUNTIFS('A. Tran'!C3:C32,"&lt;&gt;",'A. Tran'!C3:C32,"&lt;&gt;Closed")</f>
        <v/>
      </c>
      <c r="D5" s="6">
        <f>SUMIFS('A. Tran'!D3:D32,'A. Tran'!C3:C32,"&lt;&gt;Closed",'A. Tran'!C3:C32,"&lt;&gt;")</f>
        <v/>
      </c>
      <c r="E5" s="6">
        <f>SUMIFS('A. Tran'!I3:I32,'A. Tran'!C3:C32,"&lt;&gt;Closed",'A. Tran'!C3:C32,"&lt;&gt;")</f>
        <v/>
      </c>
      <c r="F5" s="6">
        <f>SUMIFS('A. Tran'!J3:J32,'A. Tran'!C3:C32,"&lt;&gt;Closed",'A. Tran'!C3:C32,"&lt;&gt;")</f>
        <v/>
      </c>
      <c r="G5" s="6">
        <f>SUMIFS('A. Tran'!I3:I32,'A. Tran'!C3:C32,"Closed")</f>
        <v/>
      </c>
    </row>
    <row r="6">
      <c r="A6" s="5" t="inlineStr">
        <is>
          <t>K. Williams</t>
        </is>
      </c>
      <c r="B6" t="inlineStr">
        <is>
          <t>Houston</t>
        </is>
      </c>
      <c r="C6">
        <f>COUNTIFS('K. Williams'!C3:C32,"&lt;&gt;",'K. Williams'!C3:C32,"&lt;&gt;Closed")</f>
        <v/>
      </c>
      <c r="D6" s="6">
        <f>SUMIFS('K. Williams'!D3:D32,'K. Williams'!C3:C32,"&lt;&gt;Closed",'K. Williams'!C3:C32,"&lt;&gt;")</f>
        <v/>
      </c>
      <c r="E6" s="6">
        <f>SUMIFS('K. Williams'!I3:I32,'K. Williams'!C3:C32,"&lt;&gt;Closed",'K. Williams'!C3:C32,"&lt;&gt;")</f>
        <v/>
      </c>
      <c r="F6" s="6">
        <f>SUMIFS('K. Williams'!J3:J32,'K. Williams'!C3:C32,"&lt;&gt;Closed",'K. Williams'!C3:C32,"&lt;&gt;")</f>
        <v/>
      </c>
      <c r="G6" s="6">
        <f>SUMIFS('K. Williams'!I3:I32,'K. Williams'!C3:C32,"Closed")</f>
        <v/>
      </c>
    </row>
    <row r="7">
      <c r="A7" s="5" t="inlineStr">
        <is>
          <t>R. Chen</t>
        </is>
      </c>
      <c r="B7" t="inlineStr">
        <is>
          <t>Dallas</t>
        </is>
      </c>
      <c r="C7">
        <f>COUNTIFS('R. Chen'!C3:C32,"&lt;&gt;",'R. Chen'!C3:C32,"&lt;&gt;Closed")</f>
        <v/>
      </c>
      <c r="D7" s="6">
        <f>SUMIFS('R. Chen'!D3:D32,'R. Chen'!C3:C32,"&lt;&gt;Closed",'R. Chen'!C3:C32,"&lt;&gt;")</f>
        <v/>
      </c>
      <c r="E7" s="6">
        <f>SUMIFS('R. Chen'!I3:I32,'R. Chen'!C3:C32,"&lt;&gt;Closed",'R. Chen'!C3:C32,"&lt;&gt;")</f>
        <v/>
      </c>
      <c r="F7" s="6">
        <f>SUMIFS('R. Chen'!J3:J32,'R. Chen'!C3:C32,"&lt;&gt;Closed",'R. Chen'!C3:C32,"&lt;&gt;")</f>
        <v/>
      </c>
      <c r="G7" s="6">
        <f>SUMIFS('R. Chen'!I3:I32,'R. Chen'!C3:C32,"Closed")</f>
        <v/>
      </c>
    </row>
    <row r="8">
      <c r="A8" s="5" t="inlineStr">
        <is>
          <t>S. Garcia</t>
        </is>
      </c>
      <c r="B8" t="inlineStr">
        <is>
          <t>Dallas</t>
        </is>
      </c>
      <c r="C8">
        <f>COUNTIFS('S. Garcia'!C3:C32,"&lt;&gt;",'S. Garcia'!C3:C32,"&lt;&gt;Closed")</f>
        <v/>
      </c>
      <c r="D8" s="6">
        <f>SUMIFS('S. Garcia'!D3:D32,'S. Garcia'!C3:C32,"&lt;&gt;Closed",'S. Garcia'!C3:C32,"&lt;&gt;")</f>
        <v/>
      </c>
      <c r="E8" s="6">
        <f>SUMIFS('S. Garcia'!I3:I32,'S. Garcia'!C3:C32,"&lt;&gt;Closed",'S. Garcia'!C3:C32,"&lt;&gt;")</f>
        <v/>
      </c>
      <c r="F8" s="6">
        <f>SUMIFS('S. Garcia'!J3:J32,'S. Garcia'!C3:C32,"&lt;&gt;Closed",'S. Garcia'!C3:C32,"&lt;&gt;")</f>
        <v/>
      </c>
      <c r="G8" s="6">
        <f>SUMIFS('S. Garcia'!I3:I32,'S. Garcia'!C3:C32,"Closed")</f>
        <v/>
      </c>
    </row>
    <row r="9">
      <c r="A9" s="5" t="inlineStr">
        <is>
          <t>B. Foster</t>
        </is>
      </c>
      <c r="B9" t="inlineStr">
        <is>
          <t>Dallas</t>
        </is>
      </c>
      <c r="C9">
        <f>COUNTIFS('B. Foster'!C3:C32,"&lt;&gt;",'B. Foster'!C3:C32,"&lt;&gt;Closed")</f>
        <v/>
      </c>
      <c r="D9" s="6">
        <f>SUMIFS('B. Foster'!D3:D32,'B. Foster'!C3:C32,"&lt;&gt;Closed",'B. Foster'!C3:C32,"&lt;&gt;")</f>
        <v/>
      </c>
      <c r="E9" s="6">
        <f>SUMIFS('B. Foster'!I3:I32,'B. Foster'!C3:C32,"&lt;&gt;Closed",'B. Foster'!C3:C32,"&lt;&gt;")</f>
        <v/>
      </c>
      <c r="F9" s="6">
        <f>SUMIFS('B. Foster'!J3:J32,'B. Foster'!C3:C32,"&lt;&gt;Closed",'B. Foster'!C3:C32,"&lt;&gt;")</f>
        <v/>
      </c>
      <c r="G9" s="6">
        <f>SUMIFS('B. Foster'!I3:I32,'B. Foster'!C3:C32,"Closed")</f>
        <v/>
      </c>
    </row>
    <row r="10">
      <c r="A10" s="7" t="inlineStr">
        <is>
          <t>TOTAL</t>
        </is>
      </c>
      <c r="B10" s="8" t="n"/>
      <c r="C10" s="9">
        <f>SUM(C3:C9)</f>
        <v/>
      </c>
      <c r="D10" s="10">
        <f>SUM(D3:D9)</f>
        <v/>
      </c>
      <c r="E10" s="10">
        <f>SUM(E3:E9)</f>
        <v/>
      </c>
      <c r="F10" s="10">
        <f>SUM(F3:F9)</f>
        <v/>
      </c>
      <c r="G10" s="10">
        <f>SUM(G3:G9)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M. Reyes · Houston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D3" s="6" t="n"/>
      <c r="E3" s="12">
        <f>IF(C3="","",VLOOKUP(C3,Lookup!$D$2:$E$6,2,FALSE))</f>
        <v/>
      </c>
      <c r="F3" s="13" t="n"/>
      <c r="G3" s="14">
        <f>IF(F3="","",TODAY()-F3)</f>
        <v/>
      </c>
      <c r="H3" s="13" t="n"/>
      <c r="I3" s="15">
        <f>IF(OR(B3="",D3=""),"",D3*VLOOKUP(B3,Lookup!$A$2:$B$5,2,FALSE))</f>
        <v/>
      </c>
      <c r="J3" s="15">
        <f>IF(OR(I3="",E3=""),"",I3*E3)</f>
        <v/>
      </c>
    </row>
    <row r="4">
      <c r="A4" s="16" t="n"/>
      <c r="B4" s="16" t="n"/>
      <c r="C4" s="16" t="n"/>
      <c r="D4" s="17" t="n"/>
      <c r="E4" s="12">
        <f>IF(C4="","",VLOOKUP(C4,Lookup!$D$2:$E$6,2,FALSE))</f>
        <v/>
      </c>
      <c r="F4" s="18" t="n"/>
      <c r="G4" s="14">
        <f>IF(F4="","",TODAY()-F4)</f>
        <v/>
      </c>
      <c r="H4" s="18" t="n"/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D5" s="6" t="n"/>
      <c r="E5" s="12">
        <f>IF(C5="","",VLOOKUP(C5,Lookup!$D$2:$E$6,2,FALSE))</f>
        <v/>
      </c>
      <c r="F5" s="13" t="n"/>
      <c r="G5" s="14">
        <f>IF(F5="","",TODAY()-F5)</f>
        <v/>
      </c>
      <c r="H5" s="13" t="n"/>
      <c r="I5" s="15">
        <f>IF(OR(B5="",D5=""),"",D5*VLOOKUP(B5,Lookup!$A$2:$B$5,2,FALSE))</f>
        <v/>
      </c>
      <c r="J5" s="15">
        <f>IF(OR(I5="",E5=""),"",I5*E5)</f>
        <v/>
      </c>
    </row>
    <row r="6">
      <c r="A6" s="16" t="n"/>
      <c r="B6" s="16" t="n"/>
      <c r="C6" s="16" t="n"/>
      <c r="D6" s="17" t="n"/>
      <c r="E6" s="12">
        <f>IF(C6="","",VLOOKUP(C6,Lookup!$D$2:$E$6,2,FALSE))</f>
        <v/>
      </c>
      <c r="F6" s="18" t="n"/>
      <c r="G6" s="14">
        <f>IF(F6="","",TODAY()-F6)</f>
        <v/>
      </c>
      <c r="H6" s="18" t="n"/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D7" s="6" t="n"/>
      <c r="E7" s="12">
        <f>IF(C7="","",VLOOKUP(C7,Lookup!$D$2:$E$6,2,FALSE))</f>
        <v/>
      </c>
      <c r="F7" s="13" t="n"/>
      <c r="G7" s="14">
        <f>IF(F7="","",TODAY()-F7)</f>
        <v/>
      </c>
      <c r="H7" s="13" t="n"/>
      <c r="I7" s="15">
        <f>IF(OR(B7="",D7=""),"",D7*VLOOKUP(B7,Lookup!$A$2:$B$5,2,FALSE))</f>
        <v/>
      </c>
      <c r="J7" s="15">
        <f>IF(OR(I7="",E7=""),"",I7*E7)</f>
        <v/>
      </c>
    </row>
    <row r="8">
      <c r="A8" s="16" t="n"/>
      <c r="B8" s="16" t="n"/>
      <c r="C8" s="16" t="n"/>
      <c r="D8" s="17" t="n"/>
      <c r="E8" s="12">
        <f>IF(C8="","",VLOOKUP(C8,Lookup!$D$2:$E$6,2,FALSE))</f>
        <v/>
      </c>
      <c r="F8" s="18" t="n"/>
      <c r="G8" s="14">
        <f>IF(F8="","",TODAY()-F8)</f>
        <v/>
      </c>
      <c r="H8" s="18" t="n"/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D9" s="6" t="n"/>
      <c r="E9" s="12">
        <f>IF(C9="","",VLOOKUP(C9,Lookup!$D$2:$E$6,2,FALSE))</f>
        <v/>
      </c>
      <c r="F9" s="13" t="n"/>
      <c r="G9" s="14">
        <f>IF(F9="","",TODAY()-F9)</f>
        <v/>
      </c>
      <c r="H9" s="13" t="n"/>
      <c r="I9" s="15">
        <f>IF(OR(B9="",D9=""),"",D9*VLOOKUP(B9,Lookup!$A$2:$B$5,2,FALSE))</f>
        <v/>
      </c>
      <c r="J9" s="15">
        <f>IF(OR(I9="",E9=""),"",I9*E9)</f>
        <v/>
      </c>
    </row>
    <row r="10">
      <c r="A10" s="16" t="n"/>
      <c r="B10" s="16" t="n"/>
      <c r="C10" s="16" t="n"/>
      <c r="D10" s="17" t="n"/>
      <c r="E10" s="12">
        <f>IF(C10="","",VLOOKUP(C10,Lookup!$D$2:$E$6,2,FALSE))</f>
        <v/>
      </c>
      <c r="F10" s="18" t="n"/>
      <c r="G10" s="14">
        <f>IF(F10="","",TODAY()-F10)</f>
        <v/>
      </c>
      <c r="H10" s="18" t="n"/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D11" s="6" t="n"/>
      <c r="E11" s="12">
        <f>IF(C11="","",VLOOKUP(C11,Lookup!$D$2:$E$6,2,FALSE))</f>
        <v/>
      </c>
      <c r="F11" s="13" t="n"/>
      <c r="G11" s="14">
        <f>IF(F11="","",TODAY()-F11)</f>
        <v/>
      </c>
      <c r="H11" s="13" t="n"/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18" t="n"/>
      <c r="G12" s="14">
        <f>IF(F12="","",TODAY()-F12)</f>
        <v/>
      </c>
      <c r="H12" s="18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13" t="n"/>
      <c r="G13" s="14">
        <f>IF(F13="","",TODAY()-F13)</f>
        <v/>
      </c>
      <c r="H13" s="13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18" t="n"/>
      <c r="G14" s="14">
        <f>IF(F14="","",TODAY()-F14)</f>
        <v/>
      </c>
      <c r="H14" s="18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13" t="n"/>
      <c r="G15" s="14">
        <f>IF(F15="","",TODAY()-F15)</f>
        <v/>
      </c>
      <c r="H15" s="13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18" t="n"/>
      <c r="G16" s="14">
        <f>IF(F16="","",TODAY()-F16)</f>
        <v/>
      </c>
      <c r="H16" s="18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13" t="n"/>
      <c r="G17" s="14">
        <f>IF(F17="","",TODAY()-F17)</f>
        <v/>
      </c>
      <c r="H17" s="13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18" t="n"/>
      <c r="G18" s="14">
        <f>IF(F18="","",TODAY()-F18)</f>
        <v/>
      </c>
      <c r="H18" s="18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13" t="n"/>
      <c r="G19" s="14">
        <f>IF(F19="","",TODAY()-F19)</f>
        <v/>
      </c>
      <c r="H19" s="13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18" t="n"/>
      <c r="G20" s="14">
        <f>IF(F20="","",TODAY()-F20)</f>
        <v/>
      </c>
      <c r="H20" s="18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13" t="n"/>
      <c r="G21" s="14">
        <f>IF(F21="","",TODAY()-F21)</f>
        <v/>
      </c>
      <c r="H21" s="13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18" t="n"/>
      <c r="G22" s="14">
        <f>IF(F22="","",TODAY()-F22)</f>
        <v/>
      </c>
      <c r="H22" s="18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13" t="n"/>
      <c r="G23" s="14">
        <f>IF(F23="","",TODAY()-F23)</f>
        <v/>
      </c>
      <c r="H23" s="13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18" t="n"/>
      <c r="G24" s="14">
        <f>IF(F24="","",TODAY()-F24)</f>
        <v/>
      </c>
      <c r="H24" s="18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13" t="n"/>
      <c r="G25" s="14">
        <f>IF(F25="","",TODAY()-F25)</f>
        <v/>
      </c>
      <c r="H25" s="13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18" t="n"/>
      <c r="G26" s="14">
        <f>IF(F26="","",TODAY()-F26)</f>
        <v/>
      </c>
      <c r="H26" s="18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13" t="n"/>
      <c r="G27" s="14">
        <f>IF(F27="","",TODAY()-F27)</f>
        <v/>
      </c>
      <c r="H27" s="13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18" t="n"/>
      <c r="G28" s="14">
        <f>IF(F28="","",TODAY()-F28)</f>
        <v/>
      </c>
      <c r="H28" s="18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13" t="n"/>
      <c r="G29" s="14">
        <f>IF(F29="","",TODAY()-F29)</f>
        <v/>
      </c>
      <c r="H29" s="13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18" t="n"/>
      <c r="G30" s="14">
        <f>IF(F30="","",TODAY()-F30)</f>
        <v/>
      </c>
      <c r="H30" s="18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13" t="n"/>
      <c r="G31" s="14">
        <f>IF(F31="","",TODAY()-F31)</f>
        <v/>
      </c>
      <c r="H31" s="13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18" t="n"/>
      <c r="G32" s="14">
        <f>IF(F32="","",TODAY()-F32)</f>
        <v/>
      </c>
      <c r="H32" s="18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D. Patel · Houston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D3" s="6" t="n"/>
      <c r="E3" s="12">
        <f>IF(C3="","",VLOOKUP(C3,Lookup!$D$2:$E$6,2,FALSE))</f>
        <v/>
      </c>
      <c r="F3" s="13" t="n"/>
      <c r="G3" s="14">
        <f>IF(F3="","",TODAY()-F3)</f>
        <v/>
      </c>
      <c r="H3" s="13" t="n"/>
      <c r="I3" s="15">
        <f>IF(OR(B3="",D3=""),"",D3*VLOOKUP(B3,Lookup!$A$2:$B$5,2,FALSE))</f>
        <v/>
      </c>
      <c r="J3" s="15">
        <f>IF(OR(I3="",E3=""),"",I3*E3)</f>
        <v/>
      </c>
    </row>
    <row r="4">
      <c r="A4" s="16" t="n"/>
      <c r="B4" s="16" t="n"/>
      <c r="C4" s="16" t="n"/>
      <c r="D4" s="17" t="n"/>
      <c r="E4" s="12">
        <f>IF(C4="","",VLOOKUP(C4,Lookup!$D$2:$E$6,2,FALSE))</f>
        <v/>
      </c>
      <c r="F4" s="18" t="n"/>
      <c r="G4" s="14">
        <f>IF(F4="","",TODAY()-F4)</f>
        <v/>
      </c>
      <c r="H4" s="18" t="n"/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D5" s="6" t="n"/>
      <c r="E5" s="12">
        <f>IF(C5="","",VLOOKUP(C5,Lookup!$D$2:$E$6,2,FALSE))</f>
        <v/>
      </c>
      <c r="F5" s="13" t="n"/>
      <c r="G5" s="14">
        <f>IF(F5="","",TODAY()-F5)</f>
        <v/>
      </c>
      <c r="H5" s="13" t="n"/>
      <c r="I5" s="15">
        <f>IF(OR(B5="",D5=""),"",D5*VLOOKUP(B5,Lookup!$A$2:$B$5,2,FALSE))</f>
        <v/>
      </c>
      <c r="J5" s="15">
        <f>IF(OR(I5="",E5=""),"",I5*E5)</f>
        <v/>
      </c>
    </row>
    <row r="6">
      <c r="A6" s="16" t="n"/>
      <c r="B6" s="16" t="n"/>
      <c r="C6" s="16" t="n"/>
      <c r="D6" s="17" t="n"/>
      <c r="E6" s="12">
        <f>IF(C6="","",VLOOKUP(C6,Lookup!$D$2:$E$6,2,FALSE))</f>
        <v/>
      </c>
      <c r="F6" s="18" t="n"/>
      <c r="G6" s="14">
        <f>IF(F6="","",TODAY()-F6)</f>
        <v/>
      </c>
      <c r="H6" s="18" t="n"/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D7" s="6" t="n"/>
      <c r="E7" s="12">
        <f>IF(C7="","",VLOOKUP(C7,Lookup!$D$2:$E$6,2,FALSE))</f>
        <v/>
      </c>
      <c r="F7" s="13" t="n"/>
      <c r="G7" s="14">
        <f>IF(F7="","",TODAY()-F7)</f>
        <v/>
      </c>
      <c r="H7" s="13" t="n"/>
      <c r="I7" s="15">
        <f>IF(OR(B7="",D7=""),"",D7*VLOOKUP(B7,Lookup!$A$2:$B$5,2,FALSE))</f>
        <v/>
      </c>
      <c r="J7" s="15">
        <f>IF(OR(I7="",E7=""),"",I7*E7)</f>
        <v/>
      </c>
    </row>
    <row r="8">
      <c r="A8" s="16" t="n"/>
      <c r="B8" s="16" t="n"/>
      <c r="C8" s="16" t="n"/>
      <c r="D8" s="17" t="n"/>
      <c r="E8" s="12">
        <f>IF(C8="","",VLOOKUP(C8,Lookup!$D$2:$E$6,2,FALSE))</f>
        <v/>
      </c>
      <c r="F8" s="18" t="n"/>
      <c r="G8" s="14">
        <f>IF(F8="","",TODAY()-F8)</f>
        <v/>
      </c>
      <c r="H8" s="18" t="n"/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D9" s="6" t="n"/>
      <c r="E9" s="12">
        <f>IF(C9="","",VLOOKUP(C9,Lookup!$D$2:$E$6,2,FALSE))</f>
        <v/>
      </c>
      <c r="F9" s="13" t="n"/>
      <c r="G9" s="14">
        <f>IF(F9="","",TODAY()-F9)</f>
        <v/>
      </c>
      <c r="H9" s="13" t="n"/>
      <c r="I9" s="15">
        <f>IF(OR(B9="",D9=""),"",D9*VLOOKUP(B9,Lookup!$A$2:$B$5,2,FALSE))</f>
        <v/>
      </c>
      <c r="J9" s="15">
        <f>IF(OR(I9="",E9=""),"",I9*E9)</f>
        <v/>
      </c>
    </row>
    <row r="10">
      <c r="A10" s="16" t="n"/>
      <c r="B10" s="16" t="n"/>
      <c r="C10" s="16" t="n"/>
      <c r="D10" s="17" t="n"/>
      <c r="E10" s="12">
        <f>IF(C10="","",VLOOKUP(C10,Lookup!$D$2:$E$6,2,FALSE))</f>
        <v/>
      </c>
      <c r="F10" s="18" t="n"/>
      <c r="G10" s="14">
        <f>IF(F10="","",TODAY()-F10)</f>
        <v/>
      </c>
      <c r="H10" s="18" t="n"/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D11" s="6" t="n"/>
      <c r="E11" s="12">
        <f>IF(C11="","",VLOOKUP(C11,Lookup!$D$2:$E$6,2,FALSE))</f>
        <v/>
      </c>
      <c r="F11" s="13" t="n"/>
      <c r="G11" s="14">
        <f>IF(F11="","",TODAY()-F11)</f>
        <v/>
      </c>
      <c r="H11" s="13" t="n"/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18" t="n"/>
      <c r="G12" s="14">
        <f>IF(F12="","",TODAY()-F12)</f>
        <v/>
      </c>
      <c r="H12" s="18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13" t="n"/>
      <c r="G13" s="14">
        <f>IF(F13="","",TODAY()-F13)</f>
        <v/>
      </c>
      <c r="H13" s="13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18" t="n"/>
      <c r="G14" s="14">
        <f>IF(F14="","",TODAY()-F14)</f>
        <v/>
      </c>
      <c r="H14" s="18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13" t="n"/>
      <c r="G15" s="14">
        <f>IF(F15="","",TODAY()-F15)</f>
        <v/>
      </c>
      <c r="H15" s="13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18" t="n"/>
      <c r="G16" s="14">
        <f>IF(F16="","",TODAY()-F16)</f>
        <v/>
      </c>
      <c r="H16" s="18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13" t="n"/>
      <c r="G17" s="14">
        <f>IF(F17="","",TODAY()-F17)</f>
        <v/>
      </c>
      <c r="H17" s="13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18" t="n"/>
      <c r="G18" s="14">
        <f>IF(F18="","",TODAY()-F18)</f>
        <v/>
      </c>
      <c r="H18" s="18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13" t="n"/>
      <c r="G19" s="14">
        <f>IF(F19="","",TODAY()-F19)</f>
        <v/>
      </c>
      <c r="H19" s="13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18" t="n"/>
      <c r="G20" s="14">
        <f>IF(F20="","",TODAY()-F20)</f>
        <v/>
      </c>
      <c r="H20" s="18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13" t="n"/>
      <c r="G21" s="14">
        <f>IF(F21="","",TODAY()-F21)</f>
        <v/>
      </c>
      <c r="H21" s="13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18" t="n"/>
      <c r="G22" s="14">
        <f>IF(F22="","",TODAY()-F22)</f>
        <v/>
      </c>
      <c r="H22" s="18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13" t="n"/>
      <c r="G23" s="14">
        <f>IF(F23="","",TODAY()-F23)</f>
        <v/>
      </c>
      <c r="H23" s="13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18" t="n"/>
      <c r="G24" s="14">
        <f>IF(F24="","",TODAY()-F24)</f>
        <v/>
      </c>
      <c r="H24" s="18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13" t="n"/>
      <c r="G25" s="14">
        <f>IF(F25="","",TODAY()-F25)</f>
        <v/>
      </c>
      <c r="H25" s="13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18" t="n"/>
      <c r="G26" s="14">
        <f>IF(F26="","",TODAY()-F26)</f>
        <v/>
      </c>
      <c r="H26" s="18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13" t="n"/>
      <c r="G27" s="14">
        <f>IF(F27="","",TODAY()-F27)</f>
        <v/>
      </c>
      <c r="H27" s="13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18" t="n"/>
      <c r="G28" s="14">
        <f>IF(F28="","",TODAY()-F28)</f>
        <v/>
      </c>
      <c r="H28" s="18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13" t="n"/>
      <c r="G29" s="14">
        <f>IF(F29="","",TODAY()-F29)</f>
        <v/>
      </c>
      <c r="H29" s="13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18" t="n"/>
      <c r="G30" s="14">
        <f>IF(F30="","",TODAY()-F30)</f>
        <v/>
      </c>
      <c r="H30" s="18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13" t="n"/>
      <c r="G31" s="14">
        <f>IF(F31="","",TODAY()-F31)</f>
        <v/>
      </c>
      <c r="H31" s="13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18" t="n"/>
      <c r="G32" s="14">
        <f>IF(F32="","",TODAY()-F32)</f>
        <v/>
      </c>
      <c r="H32" s="18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A. Tran · Houston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D3" s="6" t="n"/>
      <c r="E3" s="12">
        <f>IF(C3="","",VLOOKUP(C3,Lookup!$D$2:$E$6,2,FALSE))</f>
        <v/>
      </c>
      <c r="F3" s="13" t="n"/>
      <c r="G3" s="14">
        <f>IF(F3="","",TODAY()-F3)</f>
        <v/>
      </c>
      <c r="H3" s="13" t="n"/>
      <c r="I3" s="15">
        <f>IF(OR(B3="",D3=""),"",D3*VLOOKUP(B3,Lookup!$A$2:$B$5,2,FALSE))</f>
        <v/>
      </c>
      <c r="J3" s="15">
        <f>IF(OR(I3="",E3=""),"",I3*E3)</f>
        <v/>
      </c>
    </row>
    <row r="4">
      <c r="A4" s="16" t="n"/>
      <c r="B4" s="16" t="n"/>
      <c r="C4" s="16" t="n"/>
      <c r="D4" s="17" t="n"/>
      <c r="E4" s="12">
        <f>IF(C4="","",VLOOKUP(C4,Lookup!$D$2:$E$6,2,FALSE))</f>
        <v/>
      </c>
      <c r="F4" s="18" t="n"/>
      <c r="G4" s="14">
        <f>IF(F4="","",TODAY()-F4)</f>
        <v/>
      </c>
      <c r="H4" s="18" t="n"/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D5" s="6" t="n"/>
      <c r="E5" s="12">
        <f>IF(C5="","",VLOOKUP(C5,Lookup!$D$2:$E$6,2,FALSE))</f>
        <v/>
      </c>
      <c r="F5" s="13" t="n"/>
      <c r="G5" s="14">
        <f>IF(F5="","",TODAY()-F5)</f>
        <v/>
      </c>
      <c r="H5" s="13" t="n"/>
      <c r="I5" s="15">
        <f>IF(OR(B5="",D5=""),"",D5*VLOOKUP(B5,Lookup!$A$2:$B$5,2,FALSE))</f>
        <v/>
      </c>
      <c r="J5" s="15">
        <f>IF(OR(I5="",E5=""),"",I5*E5)</f>
        <v/>
      </c>
    </row>
    <row r="6">
      <c r="A6" s="16" t="n"/>
      <c r="B6" s="16" t="n"/>
      <c r="C6" s="16" t="n"/>
      <c r="D6" s="17" t="n"/>
      <c r="E6" s="12">
        <f>IF(C6="","",VLOOKUP(C6,Lookup!$D$2:$E$6,2,FALSE))</f>
        <v/>
      </c>
      <c r="F6" s="18" t="n"/>
      <c r="G6" s="14">
        <f>IF(F6="","",TODAY()-F6)</f>
        <v/>
      </c>
      <c r="H6" s="18" t="n"/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D7" s="6" t="n"/>
      <c r="E7" s="12">
        <f>IF(C7="","",VLOOKUP(C7,Lookup!$D$2:$E$6,2,FALSE))</f>
        <v/>
      </c>
      <c r="F7" s="13" t="n"/>
      <c r="G7" s="14">
        <f>IF(F7="","",TODAY()-F7)</f>
        <v/>
      </c>
      <c r="H7" s="13" t="n"/>
      <c r="I7" s="15">
        <f>IF(OR(B7="",D7=""),"",D7*VLOOKUP(B7,Lookup!$A$2:$B$5,2,FALSE))</f>
        <v/>
      </c>
      <c r="J7" s="15">
        <f>IF(OR(I7="",E7=""),"",I7*E7)</f>
        <v/>
      </c>
    </row>
    <row r="8">
      <c r="A8" s="16" t="n"/>
      <c r="B8" s="16" t="n"/>
      <c r="C8" s="16" t="n"/>
      <c r="D8" s="17" t="n"/>
      <c r="E8" s="12">
        <f>IF(C8="","",VLOOKUP(C8,Lookup!$D$2:$E$6,2,FALSE))</f>
        <v/>
      </c>
      <c r="F8" s="18" t="n"/>
      <c r="G8" s="14">
        <f>IF(F8="","",TODAY()-F8)</f>
        <v/>
      </c>
      <c r="H8" s="18" t="n"/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D9" s="6" t="n"/>
      <c r="E9" s="12">
        <f>IF(C9="","",VLOOKUP(C9,Lookup!$D$2:$E$6,2,FALSE))</f>
        <v/>
      </c>
      <c r="F9" s="13" t="n"/>
      <c r="G9" s="14">
        <f>IF(F9="","",TODAY()-F9)</f>
        <v/>
      </c>
      <c r="H9" s="13" t="n"/>
      <c r="I9" s="15">
        <f>IF(OR(B9="",D9=""),"",D9*VLOOKUP(B9,Lookup!$A$2:$B$5,2,FALSE))</f>
        <v/>
      </c>
      <c r="J9" s="15">
        <f>IF(OR(I9="",E9=""),"",I9*E9)</f>
        <v/>
      </c>
    </row>
    <row r="10">
      <c r="A10" s="16" t="n"/>
      <c r="B10" s="16" t="n"/>
      <c r="C10" s="16" t="n"/>
      <c r="D10" s="17" t="n"/>
      <c r="E10" s="12">
        <f>IF(C10="","",VLOOKUP(C10,Lookup!$D$2:$E$6,2,FALSE))</f>
        <v/>
      </c>
      <c r="F10" s="18" t="n"/>
      <c r="G10" s="14">
        <f>IF(F10="","",TODAY()-F10)</f>
        <v/>
      </c>
      <c r="H10" s="18" t="n"/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D11" s="6" t="n"/>
      <c r="E11" s="12">
        <f>IF(C11="","",VLOOKUP(C11,Lookup!$D$2:$E$6,2,FALSE))</f>
        <v/>
      </c>
      <c r="F11" s="13" t="n"/>
      <c r="G11" s="14">
        <f>IF(F11="","",TODAY()-F11)</f>
        <v/>
      </c>
      <c r="H11" s="13" t="n"/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18" t="n"/>
      <c r="G12" s="14">
        <f>IF(F12="","",TODAY()-F12)</f>
        <v/>
      </c>
      <c r="H12" s="18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13" t="n"/>
      <c r="G13" s="14">
        <f>IF(F13="","",TODAY()-F13)</f>
        <v/>
      </c>
      <c r="H13" s="13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18" t="n"/>
      <c r="G14" s="14">
        <f>IF(F14="","",TODAY()-F14)</f>
        <v/>
      </c>
      <c r="H14" s="18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13" t="n"/>
      <c r="G15" s="14">
        <f>IF(F15="","",TODAY()-F15)</f>
        <v/>
      </c>
      <c r="H15" s="13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18" t="n"/>
      <c r="G16" s="14">
        <f>IF(F16="","",TODAY()-F16)</f>
        <v/>
      </c>
      <c r="H16" s="18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13" t="n"/>
      <c r="G17" s="14">
        <f>IF(F17="","",TODAY()-F17)</f>
        <v/>
      </c>
      <c r="H17" s="13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18" t="n"/>
      <c r="G18" s="14">
        <f>IF(F18="","",TODAY()-F18)</f>
        <v/>
      </c>
      <c r="H18" s="18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13" t="n"/>
      <c r="G19" s="14">
        <f>IF(F19="","",TODAY()-F19)</f>
        <v/>
      </c>
      <c r="H19" s="13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18" t="n"/>
      <c r="G20" s="14">
        <f>IF(F20="","",TODAY()-F20)</f>
        <v/>
      </c>
      <c r="H20" s="18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13" t="n"/>
      <c r="G21" s="14">
        <f>IF(F21="","",TODAY()-F21)</f>
        <v/>
      </c>
      <c r="H21" s="13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18" t="n"/>
      <c r="G22" s="14">
        <f>IF(F22="","",TODAY()-F22)</f>
        <v/>
      </c>
      <c r="H22" s="18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13" t="n"/>
      <c r="G23" s="14">
        <f>IF(F23="","",TODAY()-F23)</f>
        <v/>
      </c>
      <c r="H23" s="13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18" t="n"/>
      <c r="G24" s="14">
        <f>IF(F24="","",TODAY()-F24)</f>
        <v/>
      </c>
      <c r="H24" s="18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13" t="n"/>
      <c r="G25" s="14">
        <f>IF(F25="","",TODAY()-F25)</f>
        <v/>
      </c>
      <c r="H25" s="13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18" t="n"/>
      <c r="G26" s="14">
        <f>IF(F26="","",TODAY()-F26)</f>
        <v/>
      </c>
      <c r="H26" s="18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13" t="n"/>
      <c r="G27" s="14">
        <f>IF(F27="","",TODAY()-F27)</f>
        <v/>
      </c>
      <c r="H27" s="13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18" t="n"/>
      <c r="G28" s="14">
        <f>IF(F28="","",TODAY()-F28)</f>
        <v/>
      </c>
      <c r="H28" s="18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13" t="n"/>
      <c r="G29" s="14">
        <f>IF(F29="","",TODAY()-F29)</f>
        <v/>
      </c>
      <c r="H29" s="13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18" t="n"/>
      <c r="G30" s="14">
        <f>IF(F30="","",TODAY()-F30)</f>
        <v/>
      </c>
      <c r="H30" s="18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13" t="n"/>
      <c r="G31" s="14">
        <f>IF(F31="","",TODAY()-F31)</f>
        <v/>
      </c>
      <c r="H31" s="13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18" t="n"/>
      <c r="G32" s="14">
        <f>IF(F32="","",TODAY()-F32)</f>
        <v/>
      </c>
      <c r="H32" s="18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K. Williams · Houston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D3" s="6" t="n"/>
      <c r="E3" s="12">
        <f>IF(C3="","",VLOOKUP(C3,Lookup!$D$2:$E$6,2,FALSE))</f>
        <v/>
      </c>
      <c r="F3" s="13" t="n"/>
      <c r="G3" s="14">
        <f>IF(F3="","",TODAY()-F3)</f>
        <v/>
      </c>
      <c r="H3" s="13" t="n"/>
      <c r="I3" s="15">
        <f>IF(OR(B3="",D3=""),"",D3*VLOOKUP(B3,Lookup!$A$2:$B$5,2,FALSE))</f>
        <v/>
      </c>
      <c r="J3" s="15">
        <f>IF(OR(I3="",E3=""),"",I3*E3)</f>
        <v/>
      </c>
    </row>
    <row r="4">
      <c r="A4" s="16" t="n"/>
      <c r="B4" s="16" t="n"/>
      <c r="C4" s="16" t="n"/>
      <c r="D4" s="17" t="n"/>
      <c r="E4" s="12">
        <f>IF(C4="","",VLOOKUP(C4,Lookup!$D$2:$E$6,2,FALSE))</f>
        <v/>
      </c>
      <c r="F4" s="18" t="n"/>
      <c r="G4" s="14">
        <f>IF(F4="","",TODAY()-F4)</f>
        <v/>
      </c>
      <c r="H4" s="18" t="n"/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D5" s="6" t="n"/>
      <c r="E5" s="12">
        <f>IF(C5="","",VLOOKUP(C5,Lookup!$D$2:$E$6,2,FALSE))</f>
        <v/>
      </c>
      <c r="F5" s="13" t="n"/>
      <c r="G5" s="14">
        <f>IF(F5="","",TODAY()-F5)</f>
        <v/>
      </c>
      <c r="H5" s="13" t="n"/>
      <c r="I5" s="15">
        <f>IF(OR(B5="",D5=""),"",D5*VLOOKUP(B5,Lookup!$A$2:$B$5,2,FALSE))</f>
        <v/>
      </c>
      <c r="J5" s="15">
        <f>IF(OR(I5="",E5=""),"",I5*E5)</f>
        <v/>
      </c>
    </row>
    <row r="6">
      <c r="A6" s="16" t="n"/>
      <c r="B6" s="16" t="n"/>
      <c r="C6" s="16" t="n"/>
      <c r="D6" s="17" t="n"/>
      <c r="E6" s="12">
        <f>IF(C6="","",VLOOKUP(C6,Lookup!$D$2:$E$6,2,FALSE))</f>
        <v/>
      </c>
      <c r="F6" s="18" t="n"/>
      <c r="G6" s="14">
        <f>IF(F6="","",TODAY()-F6)</f>
        <v/>
      </c>
      <c r="H6" s="18" t="n"/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D7" s="6" t="n"/>
      <c r="E7" s="12">
        <f>IF(C7="","",VLOOKUP(C7,Lookup!$D$2:$E$6,2,FALSE))</f>
        <v/>
      </c>
      <c r="F7" s="13" t="n"/>
      <c r="G7" s="14">
        <f>IF(F7="","",TODAY()-F7)</f>
        <v/>
      </c>
      <c r="H7" s="13" t="n"/>
      <c r="I7" s="15">
        <f>IF(OR(B7="",D7=""),"",D7*VLOOKUP(B7,Lookup!$A$2:$B$5,2,FALSE))</f>
        <v/>
      </c>
      <c r="J7" s="15">
        <f>IF(OR(I7="",E7=""),"",I7*E7)</f>
        <v/>
      </c>
    </row>
    <row r="8">
      <c r="A8" s="16" t="n"/>
      <c r="B8" s="16" t="n"/>
      <c r="C8" s="16" t="n"/>
      <c r="D8" s="17" t="n"/>
      <c r="E8" s="12">
        <f>IF(C8="","",VLOOKUP(C8,Lookup!$D$2:$E$6,2,FALSE))</f>
        <v/>
      </c>
      <c r="F8" s="18" t="n"/>
      <c r="G8" s="14">
        <f>IF(F8="","",TODAY()-F8)</f>
        <v/>
      </c>
      <c r="H8" s="18" t="n"/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D9" s="6" t="n"/>
      <c r="E9" s="12">
        <f>IF(C9="","",VLOOKUP(C9,Lookup!$D$2:$E$6,2,FALSE))</f>
        <v/>
      </c>
      <c r="F9" s="13" t="n"/>
      <c r="G9" s="14">
        <f>IF(F9="","",TODAY()-F9)</f>
        <v/>
      </c>
      <c r="H9" s="13" t="n"/>
      <c r="I9" s="15">
        <f>IF(OR(B9="",D9=""),"",D9*VLOOKUP(B9,Lookup!$A$2:$B$5,2,FALSE))</f>
        <v/>
      </c>
      <c r="J9" s="15">
        <f>IF(OR(I9="",E9=""),"",I9*E9)</f>
        <v/>
      </c>
    </row>
    <row r="10">
      <c r="A10" s="16" t="n"/>
      <c r="B10" s="16" t="n"/>
      <c r="C10" s="16" t="n"/>
      <c r="D10" s="17" t="n"/>
      <c r="E10" s="12">
        <f>IF(C10="","",VLOOKUP(C10,Lookup!$D$2:$E$6,2,FALSE))</f>
        <v/>
      </c>
      <c r="F10" s="18" t="n"/>
      <c r="G10" s="14">
        <f>IF(F10="","",TODAY()-F10)</f>
        <v/>
      </c>
      <c r="H10" s="18" t="n"/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D11" s="6" t="n"/>
      <c r="E11" s="12">
        <f>IF(C11="","",VLOOKUP(C11,Lookup!$D$2:$E$6,2,FALSE))</f>
        <v/>
      </c>
      <c r="F11" s="13" t="n"/>
      <c r="G11" s="14">
        <f>IF(F11="","",TODAY()-F11)</f>
        <v/>
      </c>
      <c r="H11" s="13" t="n"/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18" t="n"/>
      <c r="G12" s="14">
        <f>IF(F12="","",TODAY()-F12)</f>
        <v/>
      </c>
      <c r="H12" s="18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13" t="n"/>
      <c r="G13" s="14">
        <f>IF(F13="","",TODAY()-F13)</f>
        <v/>
      </c>
      <c r="H13" s="13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18" t="n"/>
      <c r="G14" s="14">
        <f>IF(F14="","",TODAY()-F14)</f>
        <v/>
      </c>
      <c r="H14" s="18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13" t="n"/>
      <c r="G15" s="14">
        <f>IF(F15="","",TODAY()-F15)</f>
        <v/>
      </c>
      <c r="H15" s="13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18" t="n"/>
      <c r="G16" s="14">
        <f>IF(F16="","",TODAY()-F16)</f>
        <v/>
      </c>
      <c r="H16" s="18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13" t="n"/>
      <c r="G17" s="14">
        <f>IF(F17="","",TODAY()-F17)</f>
        <v/>
      </c>
      <c r="H17" s="13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18" t="n"/>
      <c r="G18" s="14">
        <f>IF(F18="","",TODAY()-F18)</f>
        <v/>
      </c>
      <c r="H18" s="18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13" t="n"/>
      <c r="G19" s="14">
        <f>IF(F19="","",TODAY()-F19)</f>
        <v/>
      </c>
      <c r="H19" s="13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18" t="n"/>
      <c r="G20" s="14">
        <f>IF(F20="","",TODAY()-F20)</f>
        <v/>
      </c>
      <c r="H20" s="18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13" t="n"/>
      <c r="G21" s="14">
        <f>IF(F21="","",TODAY()-F21)</f>
        <v/>
      </c>
      <c r="H21" s="13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18" t="n"/>
      <c r="G22" s="14">
        <f>IF(F22="","",TODAY()-F22)</f>
        <v/>
      </c>
      <c r="H22" s="18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13" t="n"/>
      <c r="G23" s="14">
        <f>IF(F23="","",TODAY()-F23)</f>
        <v/>
      </c>
      <c r="H23" s="13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18" t="n"/>
      <c r="G24" s="14">
        <f>IF(F24="","",TODAY()-F24)</f>
        <v/>
      </c>
      <c r="H24" s="18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13" t="n"/>
      <c r="G25" s="14">
        <f>IF(F25="","",TODAY()-F25)</f>
        <v/>
      </c>
      <c r="H25" s="13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18" t="n"/>
      <c r="G26" s="14">
        <f>IF(F26="","",TODAY()-F26)</f>
        <v/>
      </c>
      <c r="H26" s="18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13" t="n"/>
      <c r="G27" s="14">
        <f>IF(F27="","",TODAY()-F27)</f>
        <v/>
      </c>
      <c r="H27" s="13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18" t="n"/>
      <c r="G28" s="14">
        <f>IF(F28="","",TODAY()-F28)</f>
        <v/>
      </c>
      <c r="H28" s="18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13" t="n"/>
      <c r="G29" s="14">
        <f>IF(F29="","",TODAY()-F29)</f>
        <v/>
      </c>
      <c r="H29" s="13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18" t="n"/>
      <c r="G30" s="14">
        <f>IF(F30="","",TODAY()-F30)</f>
        <v/>
      </c>
      <c r="H30" s="18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13" t="n"/>
      <c r="G31" s="14">
        <f>IF(F31="","",TODAY()-F31)</f>
        <v/>
      </c>
      <c r="H31" s="13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18" t="n"/>
      <c r="G32" s="14">
        <f>IF(F32="","",TODAY()-F32)</f>
        <v/>
      </c>
      <c r="H32" s="18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R. Chen · Dallas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D3" s="6" t="n"/>
      <c r="E3" s="12">
        <f>IF(C3="","",VLOOKUP(C3,Lookup!$D$2:$E$6,2,FALSE))</f>
        <v/>
      </c>
      <c r="F3" s="13" t="n"/>
      <c r="G3" s="14">
        <f>IF(F3="","",TODAY()-F3)</f>
        <v/>
      </c>
      <c r="H3" s="13" t="n"/>
      <c r="I3" s="15">
        <f>IF(OR(B3="",D3=""),"",D3*VLOOKUP(B3,Lookup!$A$2:$B$5,2,FALSE))</f>
        <v/>
      </c>
      <c r="J3" s="15">
        <f>IF(OR(I3="",E3=""),"",I3*E3)</f>
        <v/>
      </c>
    </row>
    <row r="4">
      <c r="A4" s="16" t="n"/>
      <c r="B4" s="16" t="n"/>
      <c r="C4" s="16" t="n"/>
      <c r="D4" s="17" t="n"/>
      <c r="E4" s="12">
        <f>IF(C4="","",VLOOKUP(C4,Lookup!$D$2:$E$6,2,FALSE))</f>
        <v/>
      </c>
      <c r="F4" s="18" t="n"/>
      <c r="G4" s="14">
        <f>IF(F4="","",TODAY()-F4)</f>
        <v/>
      </c>
      <c r="H4" s="18" t="n"/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D5" s="6" t="n"/>
      <c r="E5" s="12">
        <f>IF(C5="","",VLOOKUP(C5,Lookup!$D$2:$E$6,2,FALSE))</f>
        <v/>
      </c>
      <c r="F5" s="13" t="n"/>
      <c r="G5" s="14">
        <f>IF(F5="","",TODAY()-F5)</f>
        <v/>
      </c>
      <c r="H5" s="13" t="n"/>
      <c r="I5" s="15">
        <f>IF(OR(B5="",D5=""),"",D5*VLOOKUP(B5,Lookup!$A$2:$B$5,2,FALSE))</f>
        <v/>
      </c>
      <c r="J5" s="15">
        <f>IF(OR(I5="",E5=""),"",I5*E5)</f>
        <v/>
      </c>
    </row>
    <row r="6">
      <c r="A6" s="16" t="n"/>
      <c r="B6" s="16" t="n"/>
      <c r="C6" s="16" t="n"/>
      <c r="D6" s="17" t="n"/>
      <c r="E6" s="12">
        <f>IF(C6="","",VLOOKUP(C6,Lookup!$D$2:$E$6,2,FALSE))</f>
        <v/>
      </c>
      <c r="F6" s="18" t="n"/>
      <c r="G6" s="14">
        <f>IF(F6="","",TODAY()-F6)</f>
        <v/>
      </c>
      <c r="H6" s="18" t="n"/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D7" s="6" t="n"/>
      <c r="E7" s="12">
        <f>IF(C7="","",VLOOKUP(C7,Lookup!$D$2:$E$6,2,FALSE))</f>
        <v/>
      </c>
      <c r="F7" s="13" t="n"/>
      <c r="G7" s="14">
        <f>IF(F7="","",TODAY()-F7)</f>
        <v/>
      </c>
      <c r="H7" s="13" t="n"/>
      <c r="I7" s="15">
        <f>IF(OR(B7="",D7=""),"",D7*VLOOKUP(B7,Lookup!$A$2:$B$5,2,FALSE))</f>
        <v/>
      </c>
      <c r="J7" s="15">
        <f>IF(OR(I7="",E7=""),"",I7*E7)</f>
        <v/>
      </c>
    </row>
    <row r="8">
      <c r="A8" s="16" t="n"/>
      <c r="B8" s="16" t="n"/>
      <c r="C8" s="16" t="n"/>
      <c r="D8" s="17" t="n"/>
      <c r="E8" s="12">
        <f>IF(C8="","",VLOOKUP(C8,Lookup!$D$2:$E$6,2,FALSE))</f>
        <v/>
      </c>
      <c r="F8" s="18" t="n"/>
      <c r="G8" s="14">
        <f>IF(F8="","",TODAY()-F8)</f>
        <v/>
      </c>
      <c r="H8" s="18" t="n"/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D9" s="6" t="n"/>
      <c r="E9" s="12">
        <f>IF(C9="","",VLOOKUP(C9,Lookup!$D$2:$E$6,2,FALSE))</f>
        <v/>
      </c>
      <c r="F9" s="13" t="n"/>
      <c r="G9" s="14">
        <f>IF(F9="","",TODAY()-F9)</f>
        <v/>
      </c>
      <c r="H9" s="13" t="n"/>
      <c r="I9" s="15">
        <f>IF(OR(B9="",D9=""),"",D9*VLOOKUP(B9,Lookup!$A$2:$B$5,2,FALSE))</f>
        <v/>
      </c>
      <c r="J9" s="15">
        <f>IF(OR(I9="",E9=""),"",I9*E9)</f>
        <v/>
      </c>
    </row>
    <row r="10">
      <c r="A10" s="16" t="n"/>
      <c r="B10" s="16" t="n"/>
      <c r="C10" s="16" t="n"/>
      <c r="D10" s="17" t="n"/>
      <c r="E10" s="12">
        <f>IF(C10="","",VLOOKUP(C10,Lookup!$D$2:$E$6,2,FALSE))</f>
        <v/>
      </c>
      <c r="F10" s="18" t="n"/>
      <c r="G10" s="14">
        <f>IF(F10="","",TODAY()-F10)</f>
        <v/>
      </c>
      <c r="H10" s="18" t="n"/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D11" s="6" t="n"/>
      <c r="E11" s="12">
        <f>IF(C11="","",VLOOKUP(C11,Lookup!$D$2:$E$6,2,FALSE))</f>
        <v/>
      </c>
      <c r="F11" s="13" t="n"/>
      <c r="G11" s="14">
        <f>IF(F11="","",TODAY()-F11)</f>
        <v/>
      </c>
      <c r="H11" s="13" t="n"/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18" t="n"/>
      <c r="G12" s="14">
        <f>IF(F12="","",TODAY()-F12)</f>
        <v/>
      </c>
      <c r="H12" s="18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13" t="n"/>
      <c r="G13" s="14">
        <f>IF(F13="","",TODAY()-F13)</f>
        <v/>
      </c>
      <c r="H13" s="13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18" t="n"/>
      <c r="G14" s="14">
        <f>IF(F14="","",TODAY()-F14)</f>
        <v/>
      </c>
      <c r="H14" s="18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13" t="n"/>
      <c r="G15" s="14">
        <f>IF(F15="","",TODAY()-F15)</f>
        <v/>
      </c>
      <c r="H15" s="13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18" t="n"/>
      <c r="G16" s="14">
        <f>IF(F16="","",TODAY()-F16)</f>
        <v/>
      </c>
      <c r="H16" s="18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13" t="n"/>
      <c r="G17" s="14">
        <f>IF(F17="","",TODAY()-F17)</f>
        <v/>
      </c>
      <c r="H17" s="13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18" t="n"/>
      <c r="G18" s="14">
        <f>IF(F18="","",TODAY()-F18)</f>
        <v/>
      </c>
      <c r="H18" s="18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13" t="n"/>
      <c r="G19" s="14">
        <f>IF(F19="","",TODAY()-F19)</f>
        <v/>
      </c>
      <c r="H19" s="13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18" t="n"/>
      <c r="G20" s="14">
        <f>IF(F20="","",TODAY()-F20)</f>
        <v/>
      </c>
      <c r="H20" s="18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13" t="n"/>
      <c r="G21" s="14">
        <f>IF(F21="","",TODAY()-F21)</f>
        <v/>
      </c>
      <c r="H21" s="13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18" t="n"/>
      <c r="G22" s="14">
        <f>IF(F22="","",TODAY()-F22)</f>
        <v/>
      </c>
      <c r="H22" s="18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13" t="n"/>
      <c r="G23" s="14">
        <f>IF(F23="","",TODAY()-F23)</f>
        <v/>
      </c>
      <c r="H23" s="13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18" t="n"/>
      <c r="G24" s="14">
        <f>IF(F24="","",TODAY()-F24)</f>
        <v/>
      </c>
      <c r="H24" s="18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13" t="n"/>
      <c r="G25" s="14">
        <f>IF(F25="","",TODAY()-F25)</f>
        <v/>
      </c>
      <c r="H25" s="13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18" t="n"/>
      <c r="G26" s="14">
        <f>IF(F26="","",TODAY()-F26)</f>
        <v/>
      </c>
      <c r="H26" s="18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13" t="n"/>
      <c r="G27" s="14">
        <f>IF(F27="","",TODAY()-F27)</f>
        <v/>
      </c>
      <c r="H27" s="13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18" t="n"/>
      <c r="G28" s="14">
        <f>IF(F28="","",TODAY()-F28)</f>
        <v/>
      </c>
      <c r="H28" s="18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13" t="n"/>
      <c r="G29" s="14">
        <f>IF(F29="","",TODAY()-F29)</f>
        <v/>
      </c>
      <c r="H29" s="13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18" t="n"/>
      <c r="G30" s="14">
        <f>IF(F30="","",TODAY()-F30)</f>
        <v/>
      </c>
      <c r="H30" s="18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13" t="n"/>
      <c r="G31" s="14">
        <f>IF(F31="","",TODAY()-F31)</f>
        <v/>
      </c>
      <c r="H31" s="13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18" t="n"/>
      <c r="G32" s="14">
        <f>IF(F32="","",TODAY()-F32)</f>
        <v/>
      </c>
      <c r="H32" s="18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S. Garcia · Dallas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D3" s="6" t="n"/>
      <c r="E3" s="12">
        <f>IF(C3="","",VLOOKUP(C3,Lookup!$D$2:$E$6,2,FALSE))</f>
        <v/>
      </c>
      <c r="F3" s="13" t="n"/>
      <c r="G3" s="14">
        <f>IF(F3="","",TODAY()-F3)</f>
        <v/>
      </c>
      <c r="H3" s="13" t="n"/>
      <c r="I3" s="15">
        <f>IF(OR(B3="",D3=""),"",D3*VLOOKUP(B3,Lookup!$A$2:$B$5,2,FALSE))</f>
        <v/>
      </c>
      <c r="J3" s="15">
        <f>IF(OR(I3="",E3=""),"",I3*E3)</f>
        <v/>
      </c>
    </row>
    <row r="4">
      <c r="A4" s="16" t="n"/>
      <c r="B4" s="16" t="n"/>
      <c r="C4" s="16" t="n"/>
      <c r="D4" s="17" t="n"/>
      <c r="E4" s="12">
        <f>IF(C4="","",VLOOKUP(C4,Lookup!$D$2:$E$6,2,FALSE))</f>
        <v/>
      </c>
      <c r="F4" s="18" t="n"/>
      <c r="G4" s="14">
        <f>IF(F4="","",TODAY()-F4)</f>
        <v/>
      </c>
      <c r="H4" s="18" t="n"/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D5" s="6" t="n"/>
      <c r="E5" s="12">
        <f>IF(C5="","",VLOOKUP(C5,Lookup!$D$2:$E$6,2,FALSE))</f>
        <v/>
      </c>
      <c r="F5" s="13" t="n"/>
      <c r="G5" s="14">
        <f>IF(F5="","",TODAY()-F5)</f>
        <v/>
      </c>
      <c r="H5" s="13" t="n"/>
      <c r="I5" s="15">
        <f>IF(OR(B5="",D5=""),"",D5*VLOOKUP(B5,Lookup!$A$2:$B$5,2,FALSE))</f>
        <v/>
      </c>
      <c r="J5" s="15">
        <f>IF(OR(I5="",E5=""),"",I5*E5)</f>
        <v/>
      </c>
    </row>
    <row r="6">
      <c r="A6" s="16" t="n"/>
      <c r="B6" s="16" t="n"/>
      <c r="C6" s="16" t="n"/>
      <c r="D6" s="17" t="n"/>
      <c r="E6" s="12">
        <f>IF(C6="","",VLOOKUP(C6,Lookup!$D$2:$E$6,2,FALSE))</f>
        <v/>
      </c>
      <c r="F6" s="18" t="n"/>
      <c r="G6" s="14">
        <f>IF(F6="","",TODAY()-F6)</f>
        <v/>
      </c>
      <c r="H6" s="18" t="n"/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D7" s="6" t="n"/>
      <c r="E7" s="12">
        <f>IF(C7="","",VLOOKUP(C7,Lookup!$D$2:$E$6,2,FALSE))</f>
        <v/>
      </c>
      <c r="F7" s="13" t="n"/>
      <c r="G7" s="14">
        <f>IF(F7="","",TODAY()-F7)</f>
        <v/>
      </c>
      <c r="H7" s="13" t="n"/>
      <c r="I7" s="15">
        <f>IF(OR(B7="",D7=""),"",D7*VLOOKUP(B7,Lookup!$A$2:$B$5,2,FALSE))</f>
        <v/>
      </c>
      <c r="J7" s="15">
        <f>IF(OR(I7="",E7=""),"",I7*E7)</f>
        <v/>
      </c>
    </row>
    <row r="8">
      <c r="A8" s="16" t="n"/>
      <c r="B8" s="16" t="n"/>
      <c r="C8" s="16" t="n"/>
      <c r="D8" s="17" t="n"/>
      <c r="E8" s="12">
        <f>IF(C8="","",VLOOKUP(C8,Lookup!$D$2:$E$6,2,FALSE))</f>
        <v/>
      </c>
      <c r="F8" s="18" t="n"/>
      <c r="G8" s="14">
        <f>IF(F8="","",TODAY()-F8)</f>
        <v/>
      </c>
      <c r="H8" s="18" t="n"/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D9" s="6" t="n"/>
      <c r="E9" s="12">
        <f>IF(C9="","",VLOOKUP(C9,Lookup!$D$2:$E$6,2,FALSE))</f>
        <v/>
      </c>
      <c r="F9" s="13" t="n"/>
      <c r="G9" s="14">
        <f>IF(F9="","",TODAY()-F9)</f>
        <v/>
      </c>
      <c r="H9" s="13" t="n"/>
      <c r="I9" s="15">
        <f>IF(OR(B9="",D9=""),"",D9*VLOOKUP(B9,Lookup!$A$2:$B$5,2,FALSE))</f>
        <v/>
      </c>
      <c r="J9" s="15">
        <f>IF(OR(I9="",E9=""),"",I9*E9)</f>
        <v/>
      </c>
    </row>
    <row r="10">
      <c r="A10" s="16" t="n"/>
      <c r="B10" s="16" t="n"/>
      <c r="C10" s="16" t="n"/>
      <c r="D10" s="17" t="n"/>
      <c r="E10" s="12">
        <f>IF(C10="","",VLOOKUP(C10,Lookup!$D$2:$E$6,2,FALSE))</f>
        <v/>
      </c>
      <c r="F10" s="18" t="n"/>
      <c r="G10" s="14">
        <f>IF(F10="","",TODAY()-F10)</f>
        <v/>
      </c>
      <c r="H10" s="18" t="n"/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D11" s="6" t="n"/>
      <c r="E11" s="12">
        <f>IF(C11="","",VLOOKUP(C11,Lookup!$D$2:$E$6,2,FALSE))</f>
        <v/>
      </c>
      <c r="F11" s="13" t="n"/>
      <c r="G11" s="14">
        <f>IF(F11="","",TODAY()-F11)</f>
        <v/>
      </c>
      <c r="H11" s="13" t="n"/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18" t="n"/>
      <c r="G12" s="14">
        <f>IF(F12="","",TODAY()-F12)</f>
        <v/>
      </c>
      <c r="H12" s="18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13" t="n"/>
      <c r="G13" s="14">
        <f>IF(F13="","",TODAY()-F13)</f>
        <v/>
      </c>
      <c r="H13" s="13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18" t="n"/>
      <c r="G14" s="14">
        <f>IF(F14="","",TODAY()-F14)</f>
        <v/>
      </c>
      <c r="H14" s="18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13" t="n"/>
      <c r="G15" s="14">
        <f>IF(F15="","",TODAY()-F15)</f>
        <v/>
      </c>
      <c r="H15" s="13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18" t="n"/>
      <c r="G16" s="14">
        <f>IF(F16="","",TODAY()-F16)</f>
        <v/>
      </c>
      <c r="H16" s="18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13" t="n"/>
      <c r="G17" s="14">
        <f>IF(F17="","",TODAY()-F17)</f>
        <v/>
      </c>
      <c r="H17" s="13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18" t="n"/>
      <c r="G18" s="14">
        <f>IF(F18="","",TODAY()-F18)</f>
        <v/>
      </c>
      <c r="H18" s="18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13" t="n"/>
      <c r="G19" s="14">
        <f>IF(F19="","",TODAY()-F19)</f>
        <v/>
      </c>
      <c r="H19" s="13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18" t="n"/>
      <c r="G20" s="14">
        <f>IF(F20="","",TODAY()-F20)</f>
        <v/>
      </c>
      <c r="H20" s="18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13" t="n"/>
      <c r="G21" s="14">
        <f>IF(F21="","",TODAY()-F21)</f>
        <v/>
      </c>
      <c r="H21" s="13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18" t="n"/>
      <c r="G22" s="14">
        <f>IF(F22="","",TODAY()-F22)</f>
        <v/>
      </c>
      <c r="H22" s="18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13" t="n"/>
      <c r="G23" s="14">
        <f>IF(F23="","",TODAY()-F23)</f>
        <v/>
      </c>
      <c r="H23" s="13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18" t="n"/>
      <c r="G24" s="14">
        <f>IF(F24="","",TODAY()-F24)</f>
        <v/>
      </c>
      <c r="H24" s="18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13" t="n"/>
      <c r="G25" s="14">
        <f>IF(F25="","",TODAY()-F25)</f>
        <v/>
      </c>
      <c r="H25" s="13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18" t="n"/>
      <c r="G26" s="14">
        <f>IF(F26="","",TODAY()-F26)</f>
        <v/>
      </c>
      <c r="H26" s="18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13" t="n"/>
      <c r="G27" s="14">
        <f>IF(F27="","",TODAY()-F27)</f>
        <v/>
      </c>
      <c r="H27" s="13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18" t="n"/>
      <c r="G28" s="14">
        <f>IF(F28="","",TODAY()-F28)</f>
        <v/>
      </c>
      <c r="H28" s="18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13" t="n"/>
      <c r="G29" s="14">
        <f>IF(F29="","",TODAY()-F29)</f>
        <v/>
      </c>
      <c r="H29" s="13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18" t="n"/>
      <c r="G30" s="14">
        <f>IF(F30="","",TODAY()-F30)</f>
        <v/>
      </c>
      <c r="H30" s="18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13" t="n"/>
      <c r="G31" s="14">
        <f>IF(F31="","",TODAY()-F31)</f>
        <v/>
      </c>
      <c r="H31" s="13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18" t="n"/>
      <c r="G32" s="14">
        <f>IF(F32="","",TODAY()-F32)</f>
        <v/>
      </c>
      <c r="H32" s="18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B. Foster · Dallas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D3" s="6" t="n"/>
      <c r="E3" s="12">
        <f>IF(C3="","",VLOOKUP(C3,Lookup!$D$2:$E$6,2,FALSE))</f>
        <v/>
      </c>
      <c r="F3" s="13" t="n"/>
      <c r="G3" s="14">
        <f>IF(F3="","",TODAY()-F3)</f>
        <v/>
      </c>
      <c r="H3" s="13" t="n"/>
      <c r="I3" s="15">
        <f>IF(OR(B3="",D3=""),"",D3*VLOOKUP(B3,Lookup!$A$2:$B$5,2,FALSE))</f>
        <v/>
      </c>
      <c r="J3" s="15">
        <f>IF(OR(I3="",E3=""),"",I3*E3)</f>
        <v/>
      </c>
    </row>
    <row r="4">
      <c r="A4" s="16" t="n"/>
      <c r="B4" s="16" t="n"/>
      <c r="C4" s="16" t="n"/>
      <c r="D4" s="17" t="n"/>
      <c r="E4" s="12">
        <f>IF(C4="","",VLOOKUP(C4,Lookup!$D$2:$E$6,2,FALSE))</f>
        <v/>
      </c>
      <c r="F4" s="18" t="n"/>
      <c r="G4" s="14">
        <f>IF(F4="","",TODAY()-F4)</f>
        <v/>
      </c>
      <c r="H4" s="18" t="n"/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D5" s="6" t="n"/>
      <c r="E5" s="12">
        <f>IF(C5="","",VLOOKUP(C5,Lookup!$D$2:$E$6,2,FALSE))</f>
        <v/>
      </c>
      <c r="F5" s="13" t="n"/>
      <c r="G5" s="14">
        <f>IF(F5="","",TODAY()-F5)</f>
        <v/>
      </c>
      <c r="H5" s="13" t="n"/>
      <c r="I5" s="15">
        <f>IF(OR(B5="",D5=""),"",D5*VLOOKUP(B5,Lookup!$A$2:$B$5,2,FALSE))</f>
        <v/>
      </c>
      <c r="J5" s="15">
        <f>IF(OR(I5="",E5=""),"",I5*E5)</f>
        <v/>
      </c>
    </row>
    <row r="6">
      <c r="A6" s="16" t="n"/>
      <c r="B6" s="16" t="n"/>
      <c r="C6" s="16" t="n"/>
      <c r="D6" s="17" t="n"/>
      <c r="E6" s="12">
        <f>IF(C6="","",VLOOKUP(C6,Lookup!$D$2:$E$6,2,FALSE))</f>
        <v/>
      </c>
      <c r="F6" s="18" t="n"/>
      <c r="G6" s="14">
        <f>IF(F6="","",TODAY()-F6)</f>
        <v/>
      </c>
      <c r="H6" s="18" t="n"/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D7" s="6" t="n"/>
      <c r="E7" s="12">
        <f>IF(C7="","",VLOOKUP(C7,Lookup!$D$2:$E$6,2,FALSE))</f>
        <v/>
      </c>
      <c r="F7" s="13" t="n"/>
      <c r="G7" s="14">
        <f>IF(F7="","",TODAY()-F7)</f>
        <v/>
      </c>
      <c r="H7" s="13" t="n"/>
      <c r="I7" s="15">
        <f>IF(OR(B7="",D7=""),"",D7*VLOOKUP(B7,Lookup!$A$2:$B$5,2,FALSE))</f>
        <v/>
      </c>
      <c r="J7" s="15">
        <f>IF(OR(I7="",E7=""),"",I7*E7)</f>
        <v/>
      </c>
    </row>
    <row r="8">
      <c r="A8" s="16" t="n"/>
      <c r="B8" s="16" t="n"/>
      <c r="C8" s="16" t="n"/>
      <c r="D8" s="17" t="n"/>
      <c r="E8" s="12">
        <f>IF(C8="","",VLOOKUP(C8,Lookup!$D$2:$E$6,2,FALSE))</f>
        <v/>
      </c>
      <c r="F8" s="18" t="n"/>
      <c r="G8" s="14">
        <f>IF(F8="","",TODAY()-F8)</f>
        <v/>
      </c>
      <c r="H8" s="18" t="n"/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D9" s="6" t="n"/>
      <c r="E9" s="12">
        <f>IF(C9="","",VLOOKUP(C9,Lookup!$D$2:$E$6,2,FALSE))</f>
        <v/>
      </c>
      <c r="F9" s="13" t="n"/>
      <c r="G9" s="14">
        <f>IF(F9="","",TODAY()-F9)</f>
        <v/>
      </c>
      <c r="H9" s="13" t="n"/>
      <c r="I9" s="15">
        <f>IF(OR(B9="",D9=""),"",D9*VLOOKUP(B9,Lookup!$A$2:$B$5,2,FALSE))</f>
        <v/>
      </c>
      <c r="J9" s="15">
        <f>IF(OR(I9="",E9=""),"",I9*E9)</f>
        <v/>
      </c>
    </row>
    <row r="10">
      <c r="A10" s="16" t="n"/>
      <c r="B10" s="16" t="n"/>
      <c r="C10" s="16" t="n"/>
      <c r="D10" s="17" t="n"/>
      <c r="E10" s="12">
        <f>IF(C10="","",VLOOKUP(C10,Lookup!$D$2:$E$6,2,FALSE))</f>
        <v/>
      </c>
      <c r="F10" s="18" t="n"/>
      <c r="G10" s="14">
        <f>IF(F10="","",TODAY()-F10)</f>
        <v/>
      </c>
      <c r="H10" s="18" t="n"/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D11" s="6" t="n"/>
      <c r="E11" s="12">
        <f>IF(C11="","",VLOOKUP(C11,Lookup!$D$2:$E$6,2,FALSE))</f>
        <v/>
      </c>
      <c r="F11" s="13" t="n"/>
      <c r="G11" s="14">
        <f>IF(F11="","",TODAY()-F11)</f>
        <v/>
      </c>
      <c r="H11" s="13" t="n"/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18" t="n"/>
      <c r="G12" s="14">
        <f>IF(F12="","",TODAY()-F12)</f>
        <v/>
      </c>
      <c r="H12" s="18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13" t="n"/>
      <c r="G13" s="14">
        <f>IF(F13="","",TODAY()-F13)</f>
        <v/>
      </c>
      <c r="H13" s="13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18" t="n"/>
      <c r="G14" s="14">
        <f>IF(F14="","",TODAY()-F14)</f>
        <v/>
      </c>
      <c r="H14" s="18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13" t="n"/>
      <c r="G15" s="14">
        <f>IF(F15="","",TODAY()-F15)</f>
        <v/>
      </c>
      <c r="H15" s="13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18" t="n"/>
      <c r="G16" s="14">
        <f>IF(F16="","",TODAY()-F16)</f>
        <v/>
      </c>
      <c r="H16" s="18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13" t="n"/>
      <c r="G17" s="14">
        <f>IF(F17="","",TODAY()-F17)</f>
        <v/>
      </c>
      <c r="H17" s="13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18" t="n"/>
      <c r="G18" s="14">
        <f>IF(F18="","",TODAY()-F18)</f>
        <v/>
      </c>
      <c r="H18" s="18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13" t="n"/>
      <c r="G19" s="14">
        <f>IF(F19="","",TODAY()-F19)</f>
        <v/>
      </c>
      <c r="H19" s="13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18" t="n"/>
      <c r="G20" s="14">
        <f>IF(F20="","",TODAY()-F20)</f>
        <v/>
      </c>
      <c r="H20" s="18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13" t="n"/>
      <c r="G21" s="14">
        <f>IF(F21="","",TODAY()-F21)</f>
        <v/>
      </c>
      <c r="H21" s="13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18" t="n"/>
      <c r="G22" s="14">
        <f>IF(F22="","",TODAY()-F22)</f>
        <v/>
      </c>
      <c r="H22" s="18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13" t="n"/>
      <c r="G23" s="14">
        <f>IF(F23="","",TODAY()-F23)</f>
        <v/>
      </c>
      <c r="H23" s="13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18" t="n"/>
      <c r="G24" s="14">
        <f>IF(F24="","",TODAY()-F24)</f>
        <v/>
      </c>
      <c r="H24" s="18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13" t="n"/>
      <c r="G25" s="14">
        <f>IF(F25="","",TODAY()-F25)</f>
        <v/>
      </c>
      <c r="H25" s="13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18" t="n"/>
      <c r="G26" s="14">
        <f>IF(F26="","",TODAY()-F26)</f>
        <v/>
      </c>
      <c r="H26" s="18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13" t="n"/>
      <c r="G27" s="14">
        <f>IF(F27="","",TODAY()-F27)</f>
        <v/>
      </c>
      <c r="H27" s="13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18" t="n"/>
      <c r="G28" s="14">
        <f>IF(F28="","",TODAY()-F28)</f>
        <v/>
      </c>
      <c r="H28" s="18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13" t="n"/>
      <c r="G29" s="14">
        <f>IF(F29="","",TODAY()-F29)</f>
        <v/>
      </c>
      <c r="H29" s="13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18" t="n"/>
      <c r="G30" s="14">
        <f>IF(F30="","",TODAY()-F30)</f>
        <v/>
      </c>
      <c r="H30" s="18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13" t="n"/>
      <c r="G31" s="14">
        <f>IF(F31="","",TODAY()-F31)</f>
        <v/>
      </c>
      <c r="H31" s="13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18" t="n"/>
      <c r="G32" s="14">
        <f>IF(F32="","",TODAY()-F32)</f>
        <v/>
      </c>
      <c r="H32" s="18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4" max="4"/>
    <col width="14" customWidth="1" min="5" max="5"/>
    <col width="14" customWidth="1" min="7" max="7"/>
    <col width="14" customWidth="1" min="8" max="8"/>
  </cols>
  <sheetData>
    <row r="1">
      <c r="A1" s="19" t="inlineStr">
        <is>
          <t>Product</t>
        </is>
      </c>
      <c r="B1" s="19" t="inlineStr">
        <is>
          <t>Spread</t>
        </is>
      </c>
      <c r="D1" s="19" t="inlineStr">
        <is>
          <t>Stage</t>
        </is>
      </c>
      <c r="E1" s="19" t="inlineStr">
        <is>
          <t>Probability</t>
        </is>
      </c>
      <c r="G1" s="19" t="inlineStr">
        <is>
          <t>RMs</t>
        </is>
      </c>
      <c r="H1" s="19" t="inlineStr">
        <is>
          <t>Market</t>
        </is>
      </c>
    </row>
    <row r="2">
      <c r="A2" t="inlineStr">
        <is>
          <t>Comm Loan</t>
        </is>
      </c>
      <c r="B2" t="n">
        <v>0.034</v>
      </c>
      <c r="D2" t="inlineStr">
        <is>
          <t>Lead</t>
        </is>
      </c>
      <c r="E2" t="n">
        <v>0.1</v>
      </c>
      <c r="G2" t="inlineStr">
        <is>
          <t>M. Reyes</t>
        </is>
      </c>
      <c r="H2" t="inlineStr">
        <is>
          <t>Houston</t>
        </is>
      </c>
    </row>
    <row r="3">
      <c r="A3" t="inlineStr">
        <is>
          <t>Deposits</t>
        </is>
      </c>
      <c r="B3" t="n">
        <v>0.005</v>
      </c>
      <c r="D3" t="inlineStr">
        <is>
          <t>Qualified</t>
        </is>
      </c>
      <c r="E3" t="n">
        <v>0.25</v>
      </c>
      <c r="G3" t="inlineStr">
        <is>
          <t>D. Patel</t>
        </is>
      </c>
      <c r="H3" t="inlineStr">
        <is>
          <t>Houston</t>
        </is>
      </c>
    </row>
    <row r="4">
      <c r="A4" t="inlineStr">
        <is>
          <t>Treasury Mgmt</t>
        </is>
      </c>
      <c r="B4" t="n">
        <v>1</v>
      </c>
      <c r="D4" t="inlineStr">
        <is>
          <t>Proposal</t>
        </is>
      </c>
      <c r="E4" t="n">
        <v>0.5</v>
      </c>
      <c r="G4" t="inlineStr">
        <is>
          <t>A. Tran</t>
        </is>
      </c>
      <c r="H4" t="inlineStr">
        <is>
          <t>Houston</t>
        </is>
      </c>
    </row>
    <row r="5">
      <c r="A5" t="inlineStr">
        <is>
          <t>Other Fees</t>
        </is>
      </c>
      <c r="B5" t="n">
        <v>1</v>
      </c>
      <c r="D5" t="inlineStr">
        <is>
          <t>Commit</t>
        </is>
      </c>
      <c r="E5" t="n">
        <v>0.8</v>
      </c>
      <c r="G5" t="inlineStr">
        <is>
          <t>K. Williams</t>
        </is>
      </c>
      <c r="H5" t="inlineStr">
        <is>
          <t>Houston</t>
        </is>
      </c>
    </row>
    <row r="6">
      <c r="D6" t="inlineStr">
        <is>
          <t>Closed</t>
        </is>
      </c>
      <c r="E6" t="n">
        <v>1</v>
      </c>
      <c r="G6" t="inlineStr">
        <is>
          <t>R. Chen</t>
        </is>
      </c>
      <c r="H6" t="inlineStr">
        <is>
          <t>Dallas</t>
        </is>
      </c>
    </row>
    <row r="7">
      <c r="G7" t="inlineStr">
        <is>
          <t>S. Garcia</t>
        </is>
      </c>
      <c r="H7" t="inlineStr">
        <is>
          <t>Dallas</t>
        </is>
      </c>
    </row>
    <row r="8">
      <c r="G8" t="inlineStr">
        <is>
          <t>B. Foster</t>
        </is>
      </c>
      <c r="H8" t="inlineStr">
        <is>
          <t>Dallas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2026-05-19T03:21:28Z</dcterms:created>
  <dcterms:modified xsi:type="dcterms:W3CDTF">2026-05-19T03:21:28Z</dcterms:modified>
</cp:coreProperties>
</file>